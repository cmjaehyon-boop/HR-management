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dropbox\Dropboxx\Dropbox (유신)\1.CM Dept\01 사업관리\011 관리\3 인력관리\인력후보\0. CV 관리\"/>
    </mc:Choice>
  </mc:AlternateContent>
  <bookViews>
    <workbookView xWindow="0" yWindow="0" windowWidth="24240" windowHeight="10125"/>
  </bookViews>
  <sheets>
    <sheet name="해외 유신 감리 관리인원" sheetId="1" r:id="rId1"/>
  </sheets>
  <definedNames>
    <definedName name="_xlnm._FilterDatabase" localSheetId="0" hidden="1">'해외 유신 감리 관리인원'!$B$2:$AD$2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99" i="1" l="1"/>
  <c r="U399" i="1"/>
  <c r="T399" i="1"/>
  <c r="V398" i="1"/>
  <c r="U398" i="1"/>
  <c r="T398" i="1"/>
  <c r="V397" i="1"/>
  <c r="U397" i="1"/>
  <c r="T397" i="1"/>
  <c r="V396" i="1"/>
  <c r="U396" i="1"/>
  <c r="T396" i="1"/>
  <c r="V395" i="1"/>
  <c r="U395" i="1"/>
  <c r="T395" i="1"/>
  <c r="V394" i="1"/>
  <c r="U394" i="1"/>
  <c r="T394" i="1"/>
  <c r="V393" i="1"/>
  <c r="U393" i="1"/>
  <c r="T393" i="1"/>
  <c r="V392" i="1"/>
  <c r="U392" i="1"/>
  <c r="T392" i="1"/>
  <c r="V391" i="1"/>
  <c r="U391" i="1"/>
  <c r="T391" i="1"/>
  <c r="V390" i="1"/>
  <c r="U390" i="1"/>
  <c r="T390" i="1"/>
  <c r="V389" i="1"/>
  <c r="U389" i="1"/>
  <c r="T389" i="1"/>
  <c r="V388" i="1"/>
  <c r="U388" i="1"/>
  <c r="T388" i="1"/>
  <c r="V387" i="1"/>
  <c r="U387" i="1"/>
  <c r="T387" i="1"/>
  <c r="V386" i="1"/>
  <c r="U386" i="1"/>
  <c r="T386" i="1"/>
  <c r="V385" i="1"/>
  <c r="U385" i="1"/>
  <c r="T385" i="1"/>
  <c r="V384" i="1"/>
  <c r="U384" i="1"/>
  <c r="T384" i="1"/>
  <c r="V383" i="1"/>
  <c r="U383" i="1"/>
  <c r="T383" i="1"/>
  <c r="V382" i="1"/>
  <c r="U382" i="1"/>
  <c r="T382" i="1"/>
  <c r="H382" i="1"/>
</calcChain>
</file>

<file path=xl/sharedStrings.xml><?xml version="1.0" encoding="utf-8"?>
<sst xmlns="http://schemas.openxmlformats.org/spreadsheetml/2006/main" count="2221" uniqueCount="902">
  <si>
    <r>
      <rPr>
        <b/>
        <sz val="11"/>
        <color theme="1"/>
        <rFont val="맑은 고딕"/>
        <family val="3"/>
        <charset val="129"/>
      </rPr>
      <t>이름</t>
    </r>
    <phoneticPr fontId="3" type="noConversion"/>
  </si>
  <si>
    <t>DOB</t>
    <phoneticPr fontId="3" type="noConversion"/>
  </si>
  <si>
    <r>
      <rPr>
        <b/>
        <sz val="11"/>
        <color theme="1"/>
        <rFont val="맑은 고딕"/>
        <family val="3"/>
        <charset val="129"/>
      </rPr>
      <t>학위</t>
    </r>
    <phoneticPr fontId="3" type="noConversion"/>
  </si>
  <si>
    <r>
      <rPr>
        <b/>
        <sz val="11"/>
        <color theme="1"/>
        <rFont val="맑은 고딕"/>
        <family val="3"/>
        <charset val="129"/>
      </rPr>
      <t>전공</t>
    </r>
    <phoneticPr fontId="3" type="noConversion"/>
  </si>
  <si>
    <r>
      <rPr>
        <b/>
        <sz val="11"/>
        <color theme="1"/>
        <rFont val="맑은 고딕"/>
        <family val="3"/>
        <charset val="129"/>
      </rPr>
      <t>재직상태</t>
    </r>
    <phoneticPr fontId="3" type="noConversion"/>
  </si>
  <si>
    <r>
      <rPr>
        <b/>
        <sz val="11"/>
        <color theme="1"/>
        <rFont val="맑은 고딕"/>
        <family val="3"/>
        <charset val="129"/>
      </rPr>
      <t>입사년도</t>
    </r>
    <phoneticPr fontId="3" type="noConversion"/>
  </si>
  <si>
    <r>
      <rPr>
        <b/>
        <sz val="11"/>
        <color theme="1"/>
        <rFont val="맑은 고딕"/>
        <family val="3"/>
        <charset val="129"/>
      </rPr>
      <t>회사</t>
    </r>
    <r>
      <rPr>
        <b/>
        <sz val="11"/>
        <color theme="1"/>
        <rFont val="Arial"/>
        <family val="2"/>
      </rPr>
      <t xml:space="preserve"> 
</t>
    </r>
    <r>
      <rPr>
        <b/>
        <sz val="11"/>
        <color theme="1"/>
        <rFont val="맑은 고딕"/>
        <family val="3"/>
        <charset val="129"/>
      </rPr>
      <t>근속년수</t>
    </r>
    <phoneticPr fontId="3" type="noConversion"/>
  </si>
  <si>
    <r>
      <t xml:space="preserve">CV </t>
    </r>
    <r>
      <rPr>
        <b/>
        <sz val="11"/>
        <color theme="1"/>
        <rFont val="맑은 고딕"/>
        <family val="3"/>
        <charset val="129"/>
      </rPr>
      <t>유무</t>
    </r>
    <phoneticPr fontId="4" type="noConversion"/>
  </si>
  <si>
    <r>
      <t>CV,</t>
    </r>
    <r>
      <rPr>
        <b/>
        <sz val="11"/>
        <color theme="1"/>
        <rFont val="맑은 고딕"/>
        <family val="3"/>
        <charset val="129"/>
      </rPr>
      <t>경력증명서</t>
    </r>
    <r>
      <rPr>
        <b/>
        <sz val="11"/>
        <color theme="1"/>
        <rFont val="Arial"/>
        <family val="2"/>
      </rPr>
      <t xml:space="preserve"> 
</t>
    </r>
    <r>
      <rPr>
        <b/>
        <sz val="11"/>
        <color theme="1"/>
        <rFont val="맑은 고딕"/>
        <family val="3"/>
        <charset val="129"/>
      </rPr>
      <t>최신화년도</t>
    </r>
    <phoneticPr fontId="3" type="noConversion"/>
  </si>
  <si>
    <r>
      <t xml:space="preserve">CV </t>
    </r>
    <r>
      <rPr>
        <b/>
        <sz val="11"/>
        <color theme="1"/>
        <rFont val="맑은 고딕"/>
        <family val="3"/>
        <charset val="129"/>
      </rPr>
      <t>사용처</t>
    </r>
    <phoneticPr fontId="4" type="noConversion"/>
  </si>
  <si>
    <r>
      <rPr>
        <b/>
        <sz val="11"/>
        <color theme="1"/>
        <rFont val="맑은 고딕"/>
        <family val="3"/>
        <charset val="129"/>
      </rPr>
      <t>국가</t>
    </r>
  </si>
  <si>
    <r>
      <rPr>
        <b/>
        <sz val="11"/>
        <color theme="1"/>
        <rFont val="맑은 고딕"/>
        <family val="3"/>
        <charset val="129"/>
      </rPr>
      <t>과업명</t>
    </r>
  </si>
  <si>
    <r>
      <rPr>
        <b/>
        <sz val="11"/>
        <color theme="1"/>
        <rFont val="맑은 고딕"/>
        <family val="3"/>
        <charset val="129"/>
      </rPr>
      <t>재원</t>
    </r>
  </si>
  <si>
    <r>
      <rPr>
        <b/>
        <sz val="11"/>
        <color theme="1"/>
        <rFont val="맑은 고딕"/>
        <family val="3"/>
        <charset val="129"/>
      </rPr>
      <t>사업분야</t>
    </r>
  </si>
  <si>
    <r>
      <rPr>
        <b/>
        <sz val="11"/>
        <color theme="1"/>
        <rFont val="맑은 고딕"/>
        <family val="3"/>
        <charset val="129"/>
      </rPr>
      <t>과업유형</t>
    </r>
  </si>
  <si>
    <r>
      <rPr>
        <b/>
        <sz val="11"/>
        <color theme="1"/>
        <rFont val="맑은 고딕"/>
        <family val="3"/>
        <charset val="129"/>
      </rPr>
      <t>보직</t>
    </r>
  </si>
  <si>
    <r>
      <rPr>
        <b/>
        <sz val="11"/>
        <color theme="1"/>
        <rFont val="맑은 고딕"/>
        <family val="3"/>
        <charset val="129"/>
      </rPr>
      <t>착수</t>
    </r>
  </si>
  <si>
    <r>
      <rPr>
        <b/>
        <sz val="11"/>
        <color theme="1"/>
        <rFont val="맑은 고딕"/>
        <family val="3"/>
        <charset val="129"/>
      </rPr>
      <t>종료</t>
    </r>
  </si>
  <si>
    <r>
      <rPr>
        <b/>
        <sz val="11"/>
        <color theme="1"/>
        <rFont val="맑은 고딕"/>
        <family val="3"/>
        <charset val="129"/>
      </rPr>
      <t>기간</t>
    </r>
  </si>
  <si>
    <r>
      <rPr>
        <b/>
        <sz val="11"/>
        <color theme="1"/>
        <rFont val="맑은 고딕"/>
        <family val="3"/>
        <charset val="129"/>
      </rPr>
      <t>겹침</t>
    </r>
    <phoneticPr fontId="3" type="noConversion"/>
  </si>
  <si>
    <r>
      <rPr>
        <b/>
        <sz val="11"/>
        <color theme="1"/>
        <rFont val="맑은 고딕"/>
        <family val="3"/>
        <charset val="129"/>
      </rPr>
      <t>공백</t>
    </r>
    <phoneticPr fontId="3" type="noConversion"/>
  </si>
  <si>
    <r>
      <rPr>
        <b/>
        <sz val="11"/>
        <color theme="1"/>
        <rFont val="맑은 고딕"/>
        <family val="3"/>
        <charset val="129"/>
      </rPr>
      <t>자격사항</t>
    </r>
    <phoneticPr fontId="4" type="noConversion"/>
  </si>
  <si>
    <t>training</t>
    <phoneticPr fontId="3" type="noConversion"/>
  </si>
  <si>
    <t>Membership</t>
    <phoneticPr fontId="3" type="noConversion"/>
  </si>
  <si>
    <t>김덕민</t>
    <phoneticPr fontId="4" type="noConversion"/>
  </si>
  <si>
    <t>석사</t>
    <phoneticPr fontId="4" type="noConversion"/>
  </si>
  <si>
    <t>O</t>
    <phoneticPr fontId="4" type="noConversion"/>
  </si>
  <si>
    <t>유</t>
    <phoneticPr fontId="4" type="noConversion"/>
  </si>
  <si>
    <t>Kazakhstan</t>
    <phoneticPr fontId="3" type="noConversion"/>
  </si>
  <si>
    <t>CAREC Corridor 1 and 6 Connector Road (Aktobe – Makat) Reconstruction Project (Section km 330 – 504) Lot 4/5/6/7 (Funded by ADB) – Design Review and Construction Supervision</t>
    <phoneticPr fontId="3" type="noConversion"/>
  </si>
  <si>
    <t>Road</t>
    <phoneticPr fontId="3" type="noConversion"/>
  </si>
  <si>
    <t>CS</t>
    <phoneticPr fontId="3" type="noConversion"/>
  </si>
  <si>
    <t>Ethiopia</t>
    <phoneticPr fontId="3" type="noConversion"/>
  </si>
  <si>
    <t>WB</t>
  </si>
  <si>
    <t>SAUDI ARABIA</t>
    <phoneticPr fontId="3" type="noConversion"/>
  </si>
  <si>
    <t>Railway</t>
    <phoneticPr fontId="3" type="noConversion"/>
  </si>
  <si>
    <t>Project Manager</t>
    <phoneticPr fontId="3" type="noConversion"/>
  </si>
  <si>
    <t>Libya</t>
    <phoneticPr fontId="3" type="noConversion"/>
  </si>
  <si>
    <t>Quality Control Manager</t>
    <phoneticPr fontId="3" type="noConversion"/>
  </si>
  <si>
    <t>UAE</t>
    <phoneticPr fontId="3" type="noConversion"/>
  </si>
  <si>
    <t xml:space="preserve"> Construction Management for R881/2A: Comprehensive Improvements of Highway Project (Funded by Dubai Government of RTA, UAE)</t>
    <phoneticPr fontId="3" type="noConversion"/>
  </si>
  <si>
    <t>Chief Quality Control Engineer</t>
    <phoneticPr fontId="3" type="noConversion"/>
  </si>
  <si>
    <t>Mongolia</t>
    <phoneticPr fontId="3" type="noConversion"/>
  </si>
  <si>
    <t xml:space="preserve"> Construction Management for Choir-Sainshand Road Construction Project (Length of 176.4km) (Funded by EDCF Korean)</t>
    <phoneticPr fontId="3" type="noConversion"/>
  </si>
  <si>
    <t>Road&amp;Bridge</t>
    <phoneticPr fontId="3" type="noConversion"/>
  </si>
  <si>
    <t>Korea</t>
    <phoneticPr fontId="3" type="noConversion"/>
  </si>
  <si>
    <t>Chief Resident Engineer</t>
    <phoneticPr fontId="3" type="noConversion"/>
  </si>
  <si>
    <t>Korea</t>
    <phoneticPr fontId="3" type="noConversion"/>
  </si>
  <si>
    <t>Saudi Arabia</t>
    <phoneticPr fontId="3" type="noConversion"/>
  </si>
  <si>
    <t>Material Engineer</t>
    <phoneticPr fontId="3" type="noConversion"/>
  </si>
  <si>
    <t>석사</t>
    <phoneticPr fontId="4" type="noConversion"/>
  </si>
  <si>
    <t>O</t>
    <phoneticPr fontId="4" type="noConversion"/>
  </si>
  <si>
    <t>CS</t>
    <phoneticPr fontId="3" type="noConversion"/>
  </si>
  <si>
    <t>Road</t>
    <phoneticPr fontId="3" type="noConversion"/>
  </si>
  <si>
    <t>Saudi Arabia</t>
    <phoneticPr fontId="3" type="noConversion"/>
  </si>
  <si>
    <t>ADB</t>
    <phoneticPr fontId="4" type="noConversion"/>
  </si>
  <si>
    <t>Road</t>
    <phoneticPr fontId="4" type="noConversion"/>
  </si>
  <si>
    <t>CS</t>
    <phoneticPr fontId="4" type="noConversion"/>
  </si>
  <si>
    <t>Road</t>
    <phoneticPr fontId="4" type="noConversion"/>
  </si>
  <si>
    <t>Mongolia</t>
    <phoneticPr fontId="4" type="noConversion"/>
  </si>
  <si>
    <t>EDCF</t>
    <phoneticPr fontId="4" type="noConversion"/>
  </si>
  <si>
    <t>Road</t>
    <phoneticPr fontId="4" type="noConversion"/>
  </si>
  <si>
    <t>Korea</t>
    <phoneticPr fontId="4" type="noConversion"/>
  </si>
  <si>
    <t>Kazakhstan</t>
  </si>
  <si>
    <t>ADB</t>
  </si>
  <si>
    <t>Road</t>
  </si>
  <si>
    <t>CS</t>
  </si>
  <si>
    <t>CS&amp;DD</t>
  </si>
  <si>
    <t>Algeria</t>
  </si>
  <si>
    <t>Project Manager</t>
  </si>
  <si>
    <t>Libya</t>
  </si>
  <si>
    <t>Korea</t>
  </si>
  <si>
    <t>Chief Resident Engineer</t>
  </si>
  <si>
    <t>Saudi Arabia</t>
  </si>
  <si>
    <t>최규철</t>
    <phoneticPr fontId="4" type="noConversion"/>
  </si>
  <si>
    <r>
      <rPr>
        <sz val="11"/>
        <color theme="1"/>
        <rFont val="맑은 고딕"/>
        <family val="3"/>
        <charset val="129"/>
      </rPr>
      <t>동티모르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니콜라우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로바투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공항</t>
    </r>
    <phoneticPr fontId="4" type="noConversion"/>
  </si>
  <si>
    <t>Airport</t>
    <phoneticPr fontId="4" type="noConversion"/>
  </si>
  <si>
    <t>CS</t>
    <phoneticPr fontId="4" type="noConversion"/>
  </si>
  <si>
    <t xml:space="preserve">Team Leader </t>
  </si>
  <si>
    <t>Road및공항 기술사, 토목기사</t>
  </si>
  <si>
    <t>최규철</t>
    <phoneticPr fontId="4" type="noConversion"/>
  </si>
  <si>
    <t>Nepal</t>
    <phoneticPr fontId="4" type="noConversion"/>
  </si>
  <si>
    <t>Kathmandu - Terai/Madhesh Fast Track (Expressway) Road Project</t>
    <phoneticPr fontId="4" type="noConversion"/>
  </si>
  <si>
    <t>DD/CS</t>
    <phoneticPr fontId="4" type="noConversion"/>
  </si>
  <si>
    <t>Detailed Design for Muan international airport</t>
    <phoneticPr fontId="4" type="noConversion"/>
  </si>
  <si>
    <t>Airport</t>
    <phoneticPr fontId="4" type="noConversion"/>
  </si>
  <si>
    <t>DD</t>
    <phoneticPr fontId="4" type="noConversion"/>
  </si>
  <si>
    <t>Construction Supervision for Pavement Improvement of Runway and Taxiways of Tribhuvan International Airport (TIA) Project</t>
    <phoneticPr fontId="4" type="noConversion"/>
  </si>
  <si>
    <t>Nepal</t>
    <phoneticPr fontId="4" type="noConversion"/>
  </si>
  <si>
    <t>Sr. Airport Engineer / Pavement Design Engineer</t>
  </si>
  <si>
    <t>최규철</t>
    <phoneticPr fontId="4" type="noConversion"/>
  </si>
  <si>
    <t>Sr. Airport Engineer</t>
  </si>
  <si>
    <t>Construction Supervision for Safety Facilities Expansion of the Pohang Airport</t>
    <phoneticPr fontId="4" type="noConversion"/>
  </si>
  <si>
    <t>Team Leader / Chief Resident Engineer</t>
  </si>
  <si>
    <t>Korea</t>
    <phoneticPr fontId="4" type="noConversion"/>
  </si>
  <si>
    <t>Korea</t>
    <phoneticPr fontId="4" type="noConversion"/>
  </si>
  <si>
    <t>Airport</t>
    <phoneticPr fontId="4" type="noConversion"/>
  </si>
  <si>
    <t>Construction Supervision for Taxiway Rehabilitation Construction (Civil) of the Gimhae Airport</t>
    <phoneticPr fontId="4" type="noConversion"/>
  </si>
  <si>
    <t>Team Leader / Sr. Airport Design Engineer</t>
  </si>
  <si>
    <t>Deputy Team Leader / Resident Engineer</t>
  </si>
  <si>
    <t>CS</t>
    <phoneticPr fontId="4" type="noConversion"/>
  </si>
  <si>
    <t xml:space="preserve">Resident Engineer </t>
  </si>
  <si>
    <t>Resident Engineer</t>
  </si>
  <si>
    <t>Assistant Project Manager</t>
  </si>
  <si>
    <t>Construction for Outer Road of Pyeongtaek Air Base</t>
    <phoneticPr fontId="4" type="noConversion"/>
  </si>
  <si>
    <t>Access Road Construction of Air Force Academy</t>
  </si>
  <si>
    <t>Construction Engineer</t>
  </si>
  <si>
    <t>Construction for Outer Road of Training Center of Air force Command Center</t>
  </si>
  <si>
    <t>Director, P.Eng, PMP</t>
  </si>
  <si>
    <t>Road및공항 기술사, 토목시공기술사, 토목기사, 건설재료시험기사</t>
  </si>
  <si>
    <t>Senior Project Engineer, P.Eng., PMP</t>
  </si>
  <si>
    <t>Project Manager, P.Eng</t>
  </si>
  <si>
    <t>New Siem Reap International Airport BOT Development Project</t>
    <phoneticPr fontId="4" type="noConversion"/>
  </si>
  <si>
    <t xml:space="preserve">Supervision of construction and operation &amp; maintenance for airside and landside </t>
    <phoneticPr fontId="4" type="noConversion"/>
  </si>
  <si>
    <t>Master Plan</t>
    <phoneticPr fontId="4" type="noConversion"/>
  </si>
  <si>
    <t>Project Manager, Resident Engineer</t>
  </si>
  <si>
    <t>Assistant Manager, Site Engineer</t>
  </si>
  <si>
    <t>Phase 2 of Sooyeong Sewage Disposal Complex</t>
    <phoneticPr fontId="4" type="noConversion"/>
  </si>
  <si>
    <t>Junior Manager, Site Engineer</t>
  </si>
  <si>
    <r>
      <rPr>
        <sz val="11"/>
        <color theme="1"/>
        <rFont val="맑은 고딕"/>
        <family val="3"/>
        <charset val="129"/>
      </rPr>
      <t>토목공학</t>
    </r>
    <phoneticPr fontId="3" type="noConversion"/>
  </si>
  <si>
    <t>O</t>
    <phoneticPr fontId="3" type="noConversion"/>
  </si>
  <si>
    <r>
      <rPr>
        <sz val="11"/>
        <color theme="1"/>
        <rFont val="맑은 고딕"/>
        <family val="3"/>
        <charset val="129"/>
      </rPr>
      <t>유</t>
    </r>
    <phoneticPr fontId="4" type="noConversion"/>
  </si>
  <si>
    <t>Bangladesh</t>
    <phoneticPr fontId="4" type="noConversion"/>
  </si>
  <si>
    <t>토목기사, 건설재료시험기사</t>
    <phoneticPr fontId="3" type="noConversion"/>
  </si>
  <si>
    <t>BD&amp;CS</t>
    <phoneticPr fontId="4" type="noConversion"/>
  </si>
  <si>
    <t>Philippines</t>
    <phoneticPr fontId="4" type="noConversion"/>
  </si>
  <si>
    <t>Sr. Quantity Survey Engineer</t>
  </si>
  <si>
    <t xml:space="preserve">Construction Supervision for Obstacle Hill Removal of Incheon Int’l Airport 2nd Phase Construction (Package No. 7)
</t>
    <phoneticPr fontId="4" type="noConversion"/>
  </si>
  <si>
    <t>Quantity Surveyor</t>
  </si>
  <si>
    <t>DD&amp;CS</t>
    <phoneticPr fontId="4" type="noConversion"/>
  </si>
  <si>
    <t>Design Engineer</t>
  </si>
  <si>
    <t>Construction Supervision for Yangyang International Airport</t>
    <phoneticPr fontId="4" type="noConversion"/>
  </si>
  <si>
    <t>Construction Supervision for Cheong-Ju Airport</t>
    <phoneticPr fontId="4" type="noConversion"/>
  </si>
  <si>
    <t>BD</t>
    <phoneticPr fontId="4" type="noConversion"/>
  </si>
  <si>
    <t>Field Engineer</t>
  </si>
  <si>
    <t>Electrical Engineer(in charge of Airfield Ground Lighting)</t>
    <phoneticPr fontId="3" type="noConversion"/>
  </si>
  <si>
    <t>Philippines</t>
    <phoneticPr fontId="4" type="noConversion"/>
  </si>
  <si>
    <t>EDCF</t>
    <phoneticPr fontId="4" type="noConversion"/>
  </si>
  <si>
    <t xml:space="preserve">Program management service for Relocation of USFK (United States Forces Korea) installations   </t>
    <phoneticPr fontId="4" type="noConversion"/>
  </si>
  <si>
    <t>Electrical Engineer</t>
    <phoneticPr fontId="3" type="noConversion"/>
  </si>
  <si>
    <t>DD</t>
    <phoneticPr fontId="4" type="noConversion"/>
  </si>
  <si>
    <t>Electrical Engineer</t>
    <phoneticPr fontId="3" type="noConversion"/>
  </si>
  <si>
    <t>Feasibility Study, Basic and Detailed Design for Laguindingan Airport Development Project</t>
    <phoneticPr fontId="4" type="noConversion"/>
  </si>
  <si>
    <t>Electrical Engineer(in charge of Airfield Ground Lighting)</t>
    <phoneticPr fontId="3" type="noConversion"/>
  </si>
  <si>
    <t>Airport Aeronautical Lighting System Engineer</t>
    <phoneticPr fontId="3" type="noConversion"/>
  </si>
  <si>
    <t>Master Plan for NAVAIDS (Airfield Lighting System) and Power Supply Facility of Incheon International Airport</t>
    <phoneticPr fontId="4" type="noConversion"/>
  </si>
  <si>
    <t>Port/Road</t>
  </si>
  <si>
    <t>Resident Engineer / Geotechnical Engineer</t>
    <phoneticPr fontId="3" type="noConversion"/>
  </si>
  <si>
    <t xml:space="preserve">Construction Supervision for Site Preparation of New International Airport Construction including Coastal Embankment Construction </t>
    <phoneticPr fontId="3" type="noConversion"/>
  </si>
  <si>
    <t>공항/Road</t>
  </si>
  <si>
    <t>Port</t>
  </si>
  <si>
    <t>Geotechnical Engineer</t>
    <phoneticPr fontId="3" type="noConversion"/>
  </si>
  <si>
    <t>Consultancy Service for Yuldo Reclaimed Land in Incheon</t>
    <phoneticPr fontId="3" type="noConversion"/>
  </si>
  <si>
    <t>Kenya</t>
  </si>
  <si>
    <t>Consultancy Services for Supervision of Works at MOI International Airort(MIA) for Pavements and Airfield Ground Lighting(AGL) Rehabilitation</t>
  </si>
  <si>
    <t>Sr. Pavement/ Materials Engineer</t>
  </si>
  <si>
    <t>Pakistan</t>
  </si>
  <si>
    <t>Consultancy Services as Assistant to Employer’s Representative (AER) For Peshawar-Karachi Motorway (PKM), Lahore-Multan Section, M-3 (230km)</t>
  </si>
  <si>
    <t>Vietnam</t>
  </si>
  <si>
    <t>GMS Ben Luc – Long Thanh Expressway Project PKG A2-2 (funded by ADB)</t>
  </si>
  <si>
    <t>Afghanistan</t>
  </si>
  <si>
    <t>North South Corridor Road Construction Project Package 1 and 2 of Mazar-e-Sharif to Pul-e-Barq to Dari-Suf (funded by ADB)</t>
  </si>
  <si>
    <t>National Expressway No. 14 Construction between Gochang and Jangseong Section (Lot 1)</t>
  </si>
  <si>
    <t>Expansion Works for National Expressway Line No.14, Dongdaegu ~ Gumi Section, Lot 1.</t>
  </si>
  <si>
    <t>Construction for Seoul Outer Ring Expressway (Ilsan - Toegyewon) Public Private Partnership Project (Lot. 1)</t>
  </si>
  <si>
    <t>Bangladesh</t>
  </si>
  <si>
    <t>Rehabilitation of Dhaka-Sylhet Road(Cont. No:1A, 1B, 1C)</t>
  </si>
  <si>
    <t>Sr. Geotechnical/ Materials Engineer</t>
  </si>
  <si>
    <t>Jamuna Bridge Railway Link Project</t>
  </si>
  <si>
    <t>Road Expansion and Pavement Work between Toseong and Ganseong</t>
  </si>
  <si>
    <t>Land Development Project for Road and Housing Complex in Ilsan, Goyang District</t>
  </si>
  <si>
    <t>Pavement/ Materials Engineer</t>
  </si>
  <si>
    <t>네팔 트리부반공항 활주로 및 유Road 재포장 감리</t>
  </si>
  <si>
    <t>Pakistan</t>
    <phoneticPr fontId="4" type="noConversion"/>
  </si>
  <si>
    <t>Deputy Project Manager</t>
    <phoneticPr fontId="4" type="noConversion"/>
  </si>
  <si>
    <t>Construction Manager</t>
    <phoneticPr fontId="4" type="noConversion"/>
  </si>
  <si>
    <t>Nepal</t>
  </si>
  <si>
    <t>Rural Connectivity Improvement Project (RCIP)</t>
  </si>
  <si>
    <t>Sr. Bridge Engineer</t>
  </si>
  <si>
    <t>Construction Supervision of Mwatate – Taveta (A23) Road Section</t>
  </si>
  <si>
    <t>Detailed Design and Construction Supervision for Yeongdo Connecting Road (including Plane) for the South-North Port Bridge</t>
  </si>
  <si>
    <t>Construction Supervision for Chung Pung Bridge Temporary Construction</t>
  </si>
  <si>
    <t>Sr. Bridge/Structural Engineer</t>
  </si>
  <si>
    <t>Detailed Design and Construction Supervision for Administrative City-High Speed Railway Osong Station</t>
  </si>
  <si>
    <t>Detailed Design and Construction Supervision for Hwangdo Bridge Temporary Construction</t>
  </si>
  <si>
    <t>Detailed Design for the Coast Beltway (Bukhang Grand Bridge)</t>
  </si>
  <si>
    <t>DD</t>
  </si>
  <si>
    <t>Construction Supervision for Seoul Outer Ring Expressway (Ilsan-Toegyewon)</t>
  </si>
  <si>
    <t>Korea</t>
    <phoneticPr fontId="3" type="noConversion"/>
  </si>
  <si>
    <t>Construction Supervision of Changseon – Samcheonpo Bridge Construction Project</t>
  </si>
  <si>
    <t>Detailed Design and Construction Supervision for Sinpyeong-Yeongin Road Expansion and Pavement Construction</t>
  </si>
  <si>
    <t>Bridge/Structural Engineer</t>
  </si>
  <si>
    <t>Construction Supervision for Paldang Bridge-Joan Road Expansion and Pavement Construction</t>
  </si>
  <si>
    <t>Detailed Design and Construction Supervision for Yongheung Grand Bridge Access Road</t>
  </si>
  <si>
    <t xml:space="preserve">Bridge Engineer </t>
  </si>
  <si>
    <t>Construction of Hongsung-Yaesan Road</t>
  </si>
  <si>
    <t>Construction of Cheonan No.2 Industrial Complex Access Road</t>
  </si>
  <si>
    <t>3 Cases including Detailed Design Service for Imsil-Jangsu Road facilities improvement Construction project management (Design Phase) and Design VE Services</t>
  </si>
  <si>
    <t>Senior Geotechnical Specialist cum Tunnel Design Engineer</t>
  </si>
  <si>
    <t>Construction Supervision for 1st section of Socheon-Dogye on National Highway Construction Project</t>
  </si>
  <si>
    <t>Chief Resident Engineer (Tunnel Specialist)</t>
  </si>
  <si>
    <t>Construction Supervision for Jangheoung-Songchu on National Highway Construction Project</t>
  </si>
  <si>
    <t>Georgia</t>
  </si>
  <si>
    <t>(funded by World Bank) Update of Feasibility Studies for E-60 Highway Section from Zemo Osiauri to Argveta and Undertaking Detailed Design for E-60 Highway Section from Zemo Osiauri to Chumateleti (Hilly and Mountainous terrain)</t>
  </si>
  <si>
    <t>Team Leader</t>
  </si>
  <si>
    <t>Basic Design for Yangpyeong - Icheon Expressway (Lot No.2) Construction Project</t>
  </si>
  <si>
    <t xml:space="preserve">Senior Geotechnical Specialist cum Tunnel Design Engineer </t>
  </si>
  <si>
    <t xml:space="preserve">(funded by Korea Exim Bank) Consultancy Services for Construction of Rach Gia Bypass Project (Construction Supervision Phase) </t>
  </si>
  <si>
    <t>Senior Geotechnical Engineer</t>
  </si>
  <si>
    <t>Cambodia</t>
  </si>
  <si>
    <t>(funded by Korea Exim Bank) Feasibility Study on National Road No.2 and No.22 Improvement Project</t>
  </si>
  <si>
    <t>Senior Geotechnical Specialist</t>
  </si>
  <si>
    <t>Preparation of Feasibility Study and Environmental Impact Assessment for Construction of Road Tunnel and Access Roads at Mleta - Kobi section of Mtskheta - Stepantsminda - Larsi International Road</t>
  </si>
  <si>
    <t>Deputy Team Leader cum Senior Tunnel Engineer</t>
  </si>
  <si>
    <t>Preliminary and Detailed Design for Construction of Arterial Expressway of High Plateau, East Section of 220km (Tebessa-Batna)</t>
  </si>
  <si>
    <t>Consultancy Services for Pre-feasibility and Feasibility Study for following Two(2) Nos. of Tunnels with Re-alignment in AJ&amp;K</t>
  </si>
  <si>
    <t xml:space="preserve">Team Leader cum Senior Tunnel Engineer </t>
  </si>
  <si>
    <t>Basic Design for Construction of Hamyang-Ulsan Expressway Construction Project (Lot 13)</t>
  </si>
  <si>
    <t>Iraq</t>
  </si>
  <si>
    <t>Detailed Design for Bekhal Small Hydro Power Plant and Access Road Construction Project in Arbil</t>
  </si>
  <si>
    <t>Detailed Design for Alternative Bypass Highway (Sangpae ~ Cheongsan Section) Construction in Dongducheon City</t>
  </si>
  <si>
    <t>Senior Geotechnical and Tunnel Specialist</t>
  </si>
  <si>
    <t xml:space="preserve">Construction Supervision for Yeongwol-Jeongyang 1st and 2nd Lot of Road Expansion Construction Project. </t>
  </si>
  <si>
    <t>Construction Supervision for Sinbuk-Yanggu (Suinri section) on National Highway Construction Project.</t>
  </si>
  <si>
    <t>Construction Supervision for Asan-Doonpo on National Highway Construction Project</t>
  </si>
  <si>
    <t>Detailed Design for Alternative Bypass Highway (Donghwa ~ Gwanseol Section) Construction in Wonju City</t>
  </si>
  <si>
    <t>Detailed Design for Gyeongbu Expressway (Dongdaegu ~ Gyeongju section) Widening Project (Lot No.3)</t>
  </si>
  <si>
    <t>Various Project (Road Design, Construction and Supervision)</t>
  </si>
  <si>
    <t>Geotechnical / Tunnel / Civil Engineer</t>
  </si>
  <si>
    <t>KOREA</t>
  </si>
  <si>
    <t>North-South Road Construction at Saemangeum Phase1.SEC 3 : Mangyeoung bRIDGE (DL E &amp; C:DEALIM)</t>
  </si>
  <si>
    <t>VIDUC. station. tunnel CONSTRUCTION / RESPONSIBILITY SURVEILLANCE ENGINEER</t>
  </si>
  <si>
    <t>BRUNEI</t>
  </si>
  <si>
    <t>HWADO-YANGPYENG Joan Bridge. Republic of Korea (DOOSAN. Co. Ltd.)</t>
  </si>
  <si>
    <t>Civil Construction manager / PROJECT DIRECTOR</t>
  </si>
  <si>
    <t>Dolsan-Hawtae Cable Stay Bridge. Republic of Korea</t>
  </si>
  <si>
    <t>Construction / Project director</t>
  </si>
  <si>
    <t>Seoul Chuncheon Expressway(Namyoungju Bridge) Project</t>
  </si>
  <si>
    <t>Project manager</t>
  </si>
  <si>
    <t xml:space="preserve">1st Seo-sang Bridge Project </t>
  </si>
  <si>
    <t>Construction Manager / Project Director</t>
  </si>
  <si>
    <t>Cheongnam Bridge. Expressway Project in Korea (SAMBU Engineering &amp; Construction Co. Ltd.)</t>
  </si>
  <si>
    <t>Bridge Construction Manager</t>
  </si>
  <si>
    <t>Construction / Project Manager</t>
  </si>
  <si>
    <t>Seoul Expressway Lot #1. #2(SAMSUNG E&amp;C)</t>
  </si>
  <si>
    <t xml:space="preserve">Senior Bridge Engineer/Project Manager </t>
  </si>
  <si>
    <t>Young Gwang Nuclear Power Plant #3. 4. Wolsung Nuclear Power Plant #2. 3. 4Project (Hyundai E &amp; C)</t>
  </si>
  <si>
    <t>Quality assurance / QA Manager</t>
  </si>
  <si>
    <t>DAEWOO Office Building Project in Ma-po Seoul</t>
  </si>
  <si>
    <t>Junior Construction Engineer</t>
  </si>
  <si>
    <t>Construction Supervision for Gohyun – Hadong IC 2 National Road Construction</t>
  </si>
  <si>
    <t>Sr. Bridge Design Engineer</t>
  </si>
  <si>
    <t>Construction Supervision for Ulsan Harbor Bridge and Approach Road Construction Project (Hilly and Mountainous terrain)</t>
  </si>
  <si>
    <t>Korea</t>
    <phoneticPr fontId="3" type="noConversion"/>
  </si>
  <si>
    <t>Detailed Design for the Bridge Construction between Jamjin Island and Mui Island</t>
  </si>
  <si>
    <t>Basic and Detailed Design for Anjua - Jara Bridge Construction (Cable Stayed Bridge)</t>
  </si>
  <si>
    <t>Bridge</t>
    <phoneticPr fontId="3" type="noConversion"/>
  </si>
  <si>
    <t>Construction Supervision for Busan – Geoje Fixed Link Road (Hilly and Mountainous terrain)</t>
  </si>
  <si>
    <t>Senior Bridge Design Engineer</t>
  </si>
  <si>
    <t>Detailed Design for Ulsan Harbor Bridge and Approach Road Construction Project (Hilly and Mountainous terrain)</t>
  </si>
  <si>
    <t>Basic and Detailed Design for the Multifunctional Administrative City Geumgang 2nd Bridge Construction</t>
  </si>
  <si>
    <t>Construction Supervision for Incheon Grand Bridge Construction</t>
  </si>
  <si>
    <t>Basic Design for Access Road to Yeosu Industrial Complex (Lot 3)</t>
  </si>
  <si>
    <t xml:space="preserve">Basic Design for Access Road to Yeosu Industrial Complex (Lot No. 1) </t>
  </si>
  <si>
    <t>Detailed Design Detour Road (Woodu – Jonghwa) in Jurisdiction of Yeosu City</t>
  </si>
  <si>
    <t>Bridge Design Engineer</t>
  </si>
  <si>
    <t>Basic and Detailed Design for the World Cup Bridge Construction</t>
  </si>
  <si>
    <t>Bridge Engineer</t>
  </si>
  <si>
    <t>Detailed Design for the Construction of Daejeon – Dangjin Expressway (Lot No. 6)</t>
  </si>
  <si>
    <t>김창규</t>
    <phoneticPr fontId="4" type="noConversion"/>
  </si>
  <si>
    <t>Detailed Design for Road Expansion and Construction between Tongil Grand Bridge and Jangdan</t>
  </si>
  <si>
    <t> Total Length: L=5.015km, Width: 20m(4lanes), Asphalt pavement</t>
  </si>
  <si>
    <t xml:space="preserve">Detailed Design for Gunoi – Namchang Road Expansion and Pavement </t>
  </si>
  <si>
    <t>Basic Design for Bridge Construction on Geogeum-do</t>
  </si>
  <si>
    <t>Detailed Design for Gyeongbu Expressway (Dongdaegu-Gyeongju) Construction (Lot No. 2)</t>
  </si>
  <si>
    <t>Detailed Design for Construction of Daejeon – Jinju Expressway (Mujoo – Jukcheon Section), Lot 18 (Hilly and Mountainous terrain)</t>
  </si>
  <si>
    <t>김장용</t>
  </si>
  <si>
    <t>Road</t>
    <phoneticPr fontId="3" type="noConversion"/>
  </si>
  <si>
    <t>조남각</t>
  </si>
  <si>
    <t>신승수</t>
  </si>
  <si>
    <t>조태환</t>
  </si>
  <si>
    <t>Construction management for Lo Te – Rach Soi Highway</t>
  </si>
  <si>
    <t>Project Director</t>
  </si>
  <si>
    <t>Qatar</t>
  </si>
  <si>
    <t>Construction Management for CP5B and CP3A projects (Cabled System: Suspension Bridge)</t>
  </si>
  <si>
    <t>Dubai</t>
  </si>
  <si>
    <t>Construction Management for Palm Jebel Ali Main &amp; Crescent Bridges</t>
  </si>
  <si>
    <t>Construction Management for Incheon Bridge Project (Cabled System: Cable Stayed Bridge)</t>
  </si>
  <si>
    <t>Construction Manager/ Planning Manager</t>
  </si>
  <si>
    <t>Singapore</t>
  </si>
  <si>
    <t>Construction Management for Singapore C423 Underground Highway</t>
  </si>
  <si>
    <t>Taiwan</t>
  </si>
  <si>
    <t>Construction Management for Taiwan High-speed Railway Project</t>
  </si>
  <si>
    <t>Thailand</t>
  </si>
  <si>
    <t>Construction Management for Bangkok Waste water treatment project</t>
  </si>
  <si>
    <t>Planning/Procurement/Budget control manager</t>
  </si>
  <si>
    <t>Overseas project management at the Headquarter</t>
  </si>
  <si>
    <t>Engineer</t>
  </si>
  <si>
    <t>Construction Management for Baghdad  –  Abu Ghraib Highway Project</t>
  </si>
  <si>
    <t>Planning/Cost control/procurement Engineer</t>
  </si>
  <si>
    <t>Construction Management for Ham An – Go Seong road construction project</t>
  </si>
  <si>
    <t>Planning/Procurement/Budget control Engineer</t>
  </si>
  <si>
    <t>양종호</t>
  </si>
  <si>
    <t xml:space="preserve">Detailed Design and Construction Supervision for Central Mekong Delta Region Connectivity Technical Assistance Project(Cable stayed Bridge) </t>
  </si>
  <si>
    <t>Structure Resident Engineer</t>
  </si>
  <si>
    <t>Consulting Services of Detailed Design and Implementation Supervision for the Cambodia Northwest Provincial Road (NR56) Improvement Project</t>
  </si>
  <si>
    <t>Construction Supervision for Cheongpung Bridge Project (Cable Stayed Bridge)</t>
  </si>
  <si>
    <t>Construction Management for Marina Costal Expressway Project (C483), Singapore (Design Build Contract)</t>
  </si>
  <si>
    <t>Design Team Leader / Senior Structure Engineer</t>
  </si>
  <si>
    <t>Construction Management for Incheon Bridge Project (Design Build Contract, Fast Track Method)</t>
  </si>
  <si>
    <t>Taiwan (C280)</t>
  </si>
  <si>
    <t>Construction Management for Taiwan High Speed Railway Project (Design Build Contract, Fast Track Method), Taiwan</t>
  </si>
  <si>
    <t>Construction Management of Youngjong Grand Bridge Project (Suspension Bridge)</t>
  </si>
  <si>
    <t>Construction Supervision for East – West Elevated Expressway (Viaduct) Construction Project</t>
  </si>
  <si>
    <t>Construction Supervision for Seoul Urban Expressway Bridge Project</t>
  </si>
  <si>
    <t>조문찬</t>
  </si>
  <si>
    <t>Construction Supervision for Balkhash~Burglbaital Highway (ADB)</t>
  </si>
  <si>
    <t xml:space="preserve">Construction Supervision for Gajeul New Town Infrastructure District 5 </t>
  </si>
  <si>
    <t>Construction Supervision of Overpass Bridges in Anyang City</t>
  </si>
  <si>
    <t>Bridge</t>
    <phoneticPr fontId="3" type="noConversion"/>
  </si>
  <si>
    <t xml:space="preserve">Project Manager </t>
  </si>
  <si>
    <t>Construction Management for Completion of Tunnel 3,500mm Sewer Treatment Plant in North Jeddah (Contract 4B), FIDIC Conditions of Contract Project</t>
  </si>
  <si>
    <t>Uzbekistan</t>
  </si>
  <si>
    <t xml:space="preserve">Loan No.2635-UZB CAREC Expressway 2 Road Investment Program Project 1- Contract No. MFF-CS-P1 for Consultancy Services on Construction Supervision (funded by ADB), FIDIC Conditions of Contract Project </t>
  </si>
  <si>
    <t>Construction Supervision for Expansion of Jeju international Airport Facilities</t>
  </si>
  <si>
    <t xml:space="preserve">Construction Supervision of Rehabilitation of Najeon ~ Jinbu Highway Constuction </t>
  </si>
  <si>
    <t>Detailed Design for Bypass (Hoecheon-Sangpae) on Highway No.3 in Dongducheon City</t>
  </si>
  <si>
    <t xml:space="preserve">Senior Highway Design Engineer </t>
  </si>
  <si>
    <t>Construction Management for Donghae Expressway Construction Project</t>
  </si>
  <si>
    <t>Korea</t>
    <phoneticPr fontId="3" type="noConversion"/>
  </si>
  <si>
    <t>Construction Management for Moonjae Road Tunnel Construction Project</t>
  </si>
  <si>
    <t>Construction Manager</t>
  </si>
  <si>
    <t>Construction Supervision of Changwon ~ Jinhae Highway Construction Project</t>
  </si>
  <si>
    <t>Busan City</t>
  </si>
  <si>
    <t>Construction Management for Urban Railway No.1 in Incheon City (L=2.0km, NATM)</t>
  </si>
  <si>
    <t>Site Engineer</t>
  </si>
  <si>
    <t>Construction Supervision for Gyeongbu Expressway between Suwon-Changwon Section Widening Project</t>
  </si>
  <si>
    <t xml:space="preserve">Construction Supervision of Olympic Arterial Expressway (Haengju Grand Bridge-Yanghwa Bridge section) Construction Project </t>
  </si>
  <si>
    <t>주진상</t>
  </si>
  <si>
    <t>Headquarter of Public Works in Domestic Country</t>
    <phoneticPr fontId="3" type="noConversion"/>
  </si>
  <si>
    <t>오선래</t>
  </si>
  <si>
    <t>Detailed Design for Gangdong-Bomun Expressway</t>
  </si>
  <si>
    <t>Botswana</t>
  </si>
  <si>
    <t>Construction Supervision of Kazungula Bridge</t>
  </si>
  <si>
    <t>Bridge</t>
    <phoneticPr fontId="3" type="noConversion"/>
  </si>
  <si>
    <t>Sr. Bridge Engineer cum Procurement support</t>
  </si>
  <si>
    <t>CS</t>
    <phoneticPr fontId="3" type="noConversion"/>
  </si>
  <si>
    <t>Project Manager / Procurement support</t>
  </si>
  <si>
    <t>Team Leader/ Sr. Bridge Engineer</t>
  </si>
  <si>
    <t>Detailed Design for Expressway between the 2nd Dawooncho - Guyoung (Hilly/Mountainous terrain)</t>
  </si>
  <si>
    <t>Detailed Design for Hwangdo Bridge Construction</t>
  </si>
  <si>
    <t>Detailed Design for Yeosu City Detour Road Construction (Woodoo - Jonghwa Bridge Project)</t>
  </si>
  <si>
    <t>Construction Supervision for the Expressway Gochang - Damyang (Hilly/Mountainous terrain)</t>
  </si>
  <si>
    <t>Project Manager/ Sr. Bridge Engineer</t>
  </si>
  <si>
    <t>Construction Supervision for Daegu-Busan Expressway (Hilly/Mountainous terrain)</t>
  </si>
  <si>
    <t>Deputy Project Manager/ Sr. Bridge Engineer</t>
  </si>
  <si>
    <t>Construction Supervision for Jungbu Inland Expressway (Suanbo _ Sangju)</t>
  </si>
  <si>
    <t>Detailed Design for Seoul Outer Beltway Construction (4 Section)</t>
  </si>
  <si>
    <t>Detailed Design for Widening Mapo Grand Bridge.</t>
  </si>
  <si>
    <t>Design for the Geumdang Bridge Construction Project (Hilly/Mountainous terrain)</t>
  </si>
  <si>
    <t>Detailed Design for the Second Jindo Bridge Construction Project</t>
  </si>
  <si>
    <t>Detailed Design for Youngdong Expressway between Wonju-Gangreung (Hilly/Mountainous terrain)</t>
  </si>
  <si>
    <t>Road</t>
    <phoneticPr fontId="3" type="noConversion"/>
  </si>
  <si>
    <t>심명섭</t>
  </si>
  <si>
    <t>유</t>
    <phoneticPr fontId="4" type="noConversion"/>
  </si>
  <si>
    <t>네팔</t>
    <phoneticPr fontId="4" type="noConversion"/>
  </si>
  <si>
    <t>Consulting Services for Cambodia Northwest Provincial Road Improvement Project</t>
  </si>
  <si>
    <t>CS</t>
    <phoneticPr fontId="3" type="noConversion"/>
  </si>
  <si>
    <t>Sr. Resident Engineer</t>
  </si>
  <si>
    <t>Construction Supervision for Youngdo Connecting Road of South Bukahng Grand Bridge</t>
  </si>
  <si>
    <t>Road&amp;Bridge</t>
    <phoneticPr fontId="3" type="noConversion"/>
  </si>
  <si>
    <t>Construction Supervision for Jungkwan Industrial Area Access Road</t>
  </si>
  <si>
    <t>Construction Supervision for Bongpyung – Naemyun(Boraeryung) Highway Construction</t>
  </si>
  <si>
    <t>Construction Supervision for Yeongwoel - Yeondang Road Widening and Pavement Project</t>
  </si>
  <si>
    <t>Road</t>
    <phoneticPr fontId="3" type="noConversion"/>
  </si>
  <si>
    <t>Sr. Resident Road Engineer</t>
  </si>
  <si>
    <t>2 Nos. of Express highway Projects and 2 Metro projects</t>
  </si>
  <si>
    <t>Program Director</t>
  </si>
  <si>
    <t>Buraidah Housing Project</t>
  </si>
  <si>
    <t>Project Manager for Civil Works</t>
  </si>
  <si>
    <t>Misrata Steel mill Construction Project</t>
  </si>
  <si>
    <t>Yong Kwang #1 &amp; #2, Ul Jin #1 Nuclear Power Plants Project</t>
  </si>
  <si>
    <t>Project Design Control Manager</t>
  </si>
  <si>
    <t>Korea</t>
    <phoneticPr fontId="3" type="noConversion"/>
  </si>
  <si>
    <t>YongDong Thermal Power Plant #2 Construction Project</t>
  </si>
  <si>
    <t>Project Supervising Civil Engineer</t>
  </si>
  <si>
    <t>10 numbers of small Water Supply Network Construction Projects</t>
  </si>
  <si>
    <r>
      <rPr>
        <sz val="11"/>
        <color theme="1"/>
        <rFont val="맑은 고딕"/>
        <family val="3"/>
        <charset val="129"/>
      </rPr>
      <t>석사</t>
    </r>
    <phoneticPr fontId="3" type="noConversion"/>
  </si>
  <si>
    <t>Consulting Services for Detailed Design and Construction Supervision for Gautam Buddha Airport Upgrading Component in Nepal</t>
    <phoneticPr fontId="4" type="noConversion"/>
  </si>
  <si>
    <t>Program Management Services for Relocation of USFK Installations</t>
    <phoneticPr fontId="4" type="noConversion"/>
  </si>
  <si>
    <t>Design Review of Runway Pavement Rehabilitation of New Ulaanbaatar International Airport Construction Project</t>
    <phoneticPr fontId="4" type="noConversion"/>
  </si>
  <si>
    <t>Construction Supervision of Laguindingan Airport Development Project</t>
    <phoneticPr fontId="4" type="noConversion"/>
  </si>
  <si>
    <t>Team Leader / Chief Resident Engineer</t>
    <phoneticPr fontId="4" type="noConversion"/>
  </si>
  <si>
    <t>Basic Design for Airside and Landside Facilities of Incheon International Airport (3rd Phase)</t>
    <phoneticPr fontId="4" type="noConversion"/>
  </si>
  <si>
    <t>BD</t>
    <phoneticPr fontId="4" type="noConversion"/>
  </si>
  <si>
    <t>Deputy Team Leader / Sr. Airport Design Engineer</t>
    <phoneticPr fontId="4" type="noConversion"/>
  </si>
  <si>
    <t>Cambodia</t>
    <phoneticPr fontId="4" type="noConversion"/>
  </si>
  <si>
    <t>Detailed Design of Aerodrome on New Siem Reap International Airport</t>
    <phoneticPr fontId="4" type="noConversion"/>
  </si>
  <si>
    <t>Construction Supervision for Obstructive Hill Removal Project of Incheon International Airport 2nd Phase Construction</t>
    <phoneticPr fontId="4" type="noConversion"/>
  </si>
  <si>
    <t>Construction Supervision for Southern Region Facilities Construction(2A-2) at the 3rd Runway of Incheon International Airport 2 Phase Construction Project</t>
    <phoneticPr fontId="4" type="noConversion"/>
  </si>
  <si>
    <t>Basic and Detailed Design for Pavement Rehabilitation of Landing Area in Ulsan Airport</t>
    <phoneticPr fontId="4" type="noConversion"/>
  </si>
  <si>
    <t>Basic and Detailed Design for the Re-Pavement of Gwangju Airport (Deisgn-Build)</t>
    <phoneticPr fontId="4" type="noConversion"/>
  </si>
  <si>
    <t>BD&amp;DD</t>
    <phoneticPr fontId="4" type="noConversion"/>
  </si>
  <si>
    <t>Basic and Detailed Design for Laguindingan Airport Development Project</t>
    <phoneticPr fontId="4" type="noConversion"/>
  </si>
  <si>
    <t>Sr. Airport Design Engineer</t>
    <phoneticPr fontId="3" type="noConversion"/>
  </si>
  <si>
    <t>Construction Supervision for Civil Facilities(AIRSIDE) Construction of Incheon International Airport</t>
    <phoneticPr fontId="4" type="noConversion"/>
  </si>
  <si>
    <t>Master Plan of Relocation of US Military Base Project</t>
    <phoneticPr fontId="4" type="noConversion"/>
  </si>
  <si>
    <t>Master Plan</t>
    <phoneticPr fontId="4" type="noConversion"/>
  </si>
  <si>
    <t>Construction Management and Construction Supervision of Seosan Air Force Base Rehabilitation Project</t>
    <phoneticPr fontId="4" type="noConversion"/>
  </si>
  <si>
    <t>Construction Supervision for the Rehabilitation of Gangreung Air Force Base</t>
    <phoneticPr fontId="4" type="noConversion"/>
  </si>
  <si>
    <t>Detailed Design and Construction Supervision of Air Force Base Road Project</t>
    <phoneticPr fontId="4" type="noConversion"/>
  </si>
  <si>
    <t>Detailed Design and Construction Supervision for the Construction of 2nd Runway in Sacheon Air Force Base</t>
    <phoneticPr fontId="4" type="noConversion"/>
  </si>
  <si>
    <t>Relocation of Air Force Education &amp; Training Command</t>
    <phoneticPr fontId="4" type="noConversion"/>
  </si>
  <si>
    <t>Improvement for Runway of Daegu Air Base</t>
    <phoneticPr fontId="4" type="noConversion"/>
  </si>
  <si>
    <t>O</t>
    <phoneticPr fontId="3" type="noConversion"/>
  </si>
  <si>
    <t>Kuwait</t>
    <phoneticPr fontId="4" type="noConversion"/>
  </si>
  <si>
    <t>AOC, Terminal 4, Kuwait International Airport.</t>
    <phoneticPr fontId="4" type="noConversion"/>
  </si>
  <si>
    <t>Airport</t>
    <phoneticPr fontId="4" type="noConversion"/>
  </si>
  <si>
    <t>CS</t>
    <phoneticPr fontId="4" type="noConversion"/>
  </si>
  <si>
    <t>Road</t>
    <phoneticPr fontId="4" type="noConversion"/>
  </si>
  <si>
    <t>Korea</t>
    <phoneticPr fontId="4" type="noConversion"/>
  </si>
  <si>
    <t>Inchon International Airport 4th phase Airside Basic &amp; Detailed Design Project</t>
    <phoneticPr fontId="4" type="noConversion"/>
  </si>
  <si>
    <t>CamKo City Development Project</t>
    <phoneticPr fontId="4" type="noConversion"/>
  </si>
  <si>
    <t>City</t>
    <phoneticPr fontId="4" type="noConversion"/>
  </si>
  <si>
    <t>Project Manager, P.Eng, PMP</t>
    <phoneticPr fontId="3" type="noConversion"/>
  </si>
  <si>
    <t>Cambodia</t>
    <phoneticPr fontId="4" type="noConversion"/>
  </si>
  <si>
    <t>New Siem Reap International Airport</t>
    <phoneticPr fontId="4" type="noConversion"/>
  </si>
  <si>
    <t>Detailed Design Service for Jecheon-si Road</t>
    <phoneticPr fontId="4" type="noConversion"/>
  </si>
  <si>
    <t>The phase 2 construction plan for Incheon International Airport</t>
    <phoneticPr fontId="4" type="noConversion"/>
  </si>
  <si>
    <t>Supervision of construction for Passenger Terminal Apron under phase I construction of Incheon International Airport</t>
    <phoneticPr fontId="4" type="noConversion"/>
  </si>
  <si>
    <t>Construction of Yangsan Golf Club</t>
    <phoneticPr fontId="4" type="noConversion"/>
  </si>
  <si>
    <t>Construction site 6 of phase 1 for Joong-Ang Highway</t>
    <phoneticPr fontId="4" type="noConversion"/>
  </si>
  <si>
    <t>Consulting Services for the Construction Supervision Phase of the Laguindingan Airport Development</t>
    <phoneticPr fontId="4" type="noConversion"/>
  </si>
  <si>
    <t>EDCF</t>
    <phoneticPr fontId="4" type="noConversion"/>
  </si>
  <si>
    <t xml:space="preserve">Construction Supervision for Incheon International Airport Concourse-A 2nd Phase Construction
</t>
    <phoneticPr fontId="4" type="noConversion"/>
  </si>
  <si>
    <t xml:space="preserve">Preliminary and Detailed design of Construction for Incheon International Airport (1st Phase), Detailed design of Construction for Muju Country Club Preliminary and Detailed design of Construction for Phoenix Ski-Resort Preliminary and Detailed design of Construction for Eagle Golf Course
</t>
    <phoneticPr fontId="4" type="noConversion"/>
  </si>
  <si>
    <t>Construction of Yonggang Industrial Complex</t>
    <phoneticPr fontId="4" type="noConversion"/>
  </si>
  <si>
    <t>Kenya</t>
    <phoneticPr fontId="4" type="noConversion"/>
  </si>
  <si>
    <t>WB</t>
    <phoneticPr fontId="4" type="noConversion"/>
  </si>
  <si>
    <t>Electrical Engineer</t>
    <phoneticPr fontId="3" type="noConversion"/>
  </si>
  <si>
    <t>전기철도기술자</t>
    <phoneticPr fontId="3" type="noConversion"/>
  </si>
  <si>
    <t>Vietnam</t>
    <phoneticPr fontId="4" type="noConversion"/>
  </si>
  <si>
    <t>JICA</t>
    <phoneticPr fontId="4" type="noConversion"/>
  </si>
  <si>
    <t>Bangladesh</t>
    <phoneticPr fontId="4" type="noConversion"/>
  </si>
  <si>
    <t>Detailed Design for 2nd Runway and other Infrastructure Development Works at HSIA</t>
    <phoneticPr fontId="4" type="noConversion"/>
  </si>
  <si>
    <t>DD</t>
    <phoneticPr fontId="4" type="noConversion"/>
  </si>
  <si>
    <t>Philippines</t>
    <phoneticPr fontId="4" type="noConversion"/>
  </si>
  <si>
    <t>Construction Supervision of Laguindingan Airport Development</t>
    <phoneticPr fontId="4" type="noConversion"/>
  </si>
  <si>
    <t>Basic Design for Airport Facilities of Incheon International Airport 3rd Phase</t>
    <phoneticPr fontId="4" type="noConversion"/>
  </si>
  <si>
    <t>BD</t>
    <phoneticPr fontId="4" type="noConversion"/>
  </si>
  <si>
    <t>Electrical Engineer(in charge of Airfield Ground Lighting)</t>
    <phoneticPr fontId="3" type="noConversion"/>
  </si>
  <si>
    <t>Detailed Design of Laguindingan Airport Development</t>
    <phoneticPr fontId="4" type="noConversion"/>
  </si>
  <si>
    <t>Construction Supervisor for Cox’s Bazar Airport Development Project (Phase-1)</t>
    <phoneticPr fontId="4" type="noConversion"/>
  </si>
  <si>
    <t>Construction Supervision for Expansion Construction of Yeosu Airport</t>
    <phoneticPr fontId="4" type="noConversion"/>
  </si>
  <si>
    <t>Construction Supervision for Airfield Lighting Facility of Incheon International Airport 2nd Phase Construction</t>
    <phoneticPr fontId="4" type="noConversion"/>
  </si>
  <si>
    <t>Basic and Detailed Design for Total Airport Facilities of Incheon International Airport 2nd Phase Construction</t>
    <phoneticPr fontId="4" type="noConversion"/>
  </si>
  <si>
    <t>BD/DD</t>
    <phoneticPr fontId="4" type="noConversion"/>
  </si>
  <si>
    <t>Detailed Design for Landing Area Expansion of Ulsan Airport</t>
    <phoneticPr fontId="4" type="noConversion"/>
  </si>
  <si>
    <t xml:space="preserve">Detailed Design for District Unit Planning and Infrastructure of Songdo District No.5 </t>
    <phoneticPr fontId="4" type="noConversion"/>
  </si>
  <si>
    <t>Detailed Design for Airfield Light System of Hanseo University Airport</t>
    <phoneticPr fontId="4" type="noConversion"/>
  </si>
  <si>
    <t>FS/BD/DD</t>
    <phoneticPr fontId="4" type="noConversion"/>
  </si>
  <si>
    <t>Basic and Detailed Design for Incheon International Airport 2nd Phase Construction</t>
    <phoneticPr fontId="4" type="noConversion"/>
  </si>
  <si>
    <t>Airport</t>
    <phoneticPr fontId="4" type="noConversion"/>
  </si>
  <si>
    <t>BD/DD</t>
    <phoneticPr fontId="4" type="noConversion"/>
  </si>
  <si>
    <t>Construction Supervision for Yangyang International Airport</t>
    <phoneticPr fontId="4" type="noConversion"/>
  </si>
  <si>
    <t>Construction Supervision for Metropolitan New International Airport Site</t>
    <phoneticPr fontId="4" type="noConversion"/>
  </si>
  <si>
    <t>Master Plan for Muan International Airport NAVAIDs (Airfield Lighting System)</t>
    <phoneticPr fontId="4" type="noConversion"/>
  </si>
  <si>
    <t>MP</t>
    <phoneticPr fontId="4" type="noConversion"/>
  </si>
  <si>
    <t>Detailed Design for Yeongdong New Airport Construction</t>
    <phoneticPr fontId="4" type="noConversion"/>
  </si>
  <si>
    <t>Detailed Design for ALS and Power Supply Facility of New Yangyang International Airport</t>
    <phoneticPr fontId="4" type="noConversion"/>
  </si>
  <si>
    <t>Airport Aeronautical Lighting System Engineer</t>
    <phoneticPr fontId="3" type="noConversion"/>
  </si>
  <si>
    <t>Detailed Design for NAVIAID (Airfield Lighting System) Facility of Mokpo Airport</t>
    <phoneticPr fontId="4" type="noConversion"/>
  </si>
  <si>
    <t>Construction Supervision for Civil Aviation Facilities of the Cheongju Airport</t>
    <phoneticPr fontId="4" type="noConversion"/>
  </si>
  <si>
    <t>Detailed Design for ALS and Power Supply Facility of Yeosu Airport</t>
    <phoneticPr fontId="4" type="noConversion"/>
  </si>
  <si>
    <t>O</t>
    <phoneticPr fontId="4" type="noConversion"/>
  </si>
  <si>
    <t>Tanzania</t>
    <phoneticPr fontId="3" type="noConversion"/>
  </si>
  <si>
    <t>루시투</t>
    <phoneticPr fontId="3" type="noConversion"/>
  </si>
  <si>
    <t>CS</t>
    <phoneticPr fontId="3" type="noConversion"/>
  </si>
  <si>
    <t xml:space="preserve">SR. GEOTECHNICAL ENGINEER </t>
    <phoneticPr fontId="3" type="noConversion"/>
  </si>
  <si>
    <t>Pakistan</t>
    <phoneticPr fontId="3" type="noConversion"/>
  </si>
  <si>
    <t>PKM3</t>
    <phoneticPr fontId="3" type="noConversion"/>
  </si>
  <si>
    <t>Cambodia</t>
    <phoneticPr fontId="3" type="noConversion"/>
  </si>
  <si>
    <t>EDCF Loan No. KHM-9: Consulting Services of Detailed Design and Implementation Supervision for the Cambodia Northwest Provincial Road (NR56) Improvement Project (Construction Supervision Stage)</t>
    <phoneticPr fontId="3" type="noConversion"/>
  </si>
  <si>
    <t>EDCF</t>
    <phoneticPr fontId="3" type="noConversion"/>
  </si>
  <si>
    <t>DD/CS</t>
    <phoneticPr fontId="3" type="noConversion"/>
  </si>
  <si>
    <t>Resident Engineer / Soil and material Engineer</t>
    <phoneticPr fontId="3" type="noConversion"/>
  </si>
  <si>
    <t>Korea</t>
    <phoneticPr fontId="3" type="noConversion"/>
  </si>
  <si>
    <t>Construction Supervision for Site preparation and Soft Ground Settlement Management of Hinterland Development in North Container Terminal in Busan New Port</t>
    <phoneticPr fontId="3" type="noConversion"/>
  </si>
  <si>
    <t>Construction Supervision for Incheon International Airport Civil Facility Construction including Hydraulic Channel</t>
    <phoneticPr fontId="3" type="noConversion"/>
  </si>
  <si>
    <t>공항</t>
    <phoneticPr fontId="3" type="noConversion"/>
  </si>
  <si>
    <t>Resident Engineer / Soil and Material Engineer</t>
    <phoneticPr fontId="3" type="noConversion"/>
  </si>
  <si>
    <t>Resident Engineer / Soil and Material Engineer</t>
    <phoneticPr fontId="3" type="noConversion"/>
  </si>
  <si>
    <t>Detailed Design for the Han River Training Construction (Hongcheon Region)</t>
    <phoneticPr fontId="3" type="noConversion"/>
  </si>
  <si>
    <t>수자원</t>
    <phoneticPr fontId="3" type="noConversion"/>
  </si>
  <si>
    <t>DD</t>
    <phoneticPr fontId="3" type="noConversion"/>
  </si>
  <si>
    <t>Geotechnical Engineer</t>
    <phoneticPr fontId="3" type="noConversion"/>
  </si>
  <si>
    <t>Detailed Design for Cheongcho Lake Development on the Sokcho Port</t>
    <phoneticPr fontId="3" type="noConversion"/>
  </si>
  <si>
    <t>매립</t>
    <phoneticPr fontId="3" type="noConversion"/>
  </si>
  <si>
    <t>Design for T-10 Dolphin Revetment</t>
    <phoneticPr fontId="3" type="noConversion"/>
  </si>
  <si>
    <t>Pakistan</t>
    <phoneticPr fontId="4" type="noConversion"/>
  </si>
  <si>
    <t>Construction of Lowari Tunnel project KPK</t>
    <phoneticPr fontId="4" type="noConversion"/>
  </si>
  <si>
    <t>Oman</t>
    <phoneticPr fontId="4" type="noConversion"/>
  </si>
  <si>
    <t>Construction of Salalah - Thumrait Road Project</t>
    <phoneticPr fontId="4" type="noConversion"/>
  </si>
  <si>
    <t>Deputy Project Manager</t>
    <phoneticPr fontId="4" type="noConversion"/>
  </si>
  <si>
    <t>Construction of Dogye - Chojung Road Project</t>
    <phoneticPr fontId="4" type="noConversion"/>
  </si>
  <si>
    <t>Construction of Jeodo Arch Bridge</t>
    <phoneticPr fontId="4" type="noConversion"/>
  </si>
  <si>
    <t>Construction Manager</t>
    <phoneticPr fontId="4" type="noConversion"/>
  </si>
  <si>
    <t xml:space="preserve">Construction of Chungwon - Sangju Express Highway </t>
    <phoneticPr fontId="4" type="noConversion"/>
  </si>
  <si>
    <t>Construction of O/H Railway Bridge in Khanewal</t>
    <phoneticPr fontId="4" type="noConversion"/>
  </si>
  <si>
    <t>Sanchung Hydro Power Project</t>
    <phoneticPr fontId="4" type="noConversion"/>
  </si>
  <si>
    <t xml:space="preserve">Multan - Mianchanu Additional Carraheway(N-5) </t>
    <phoneticPr fontId="4" type="noConversion"/>
  </si>
  <si>
    <t>Construction of Subway Goacheon Line</t>
    <phoneticPr fontId="4" type="noConversion"/>
  </si>
  <si>
    <t>Planning Engineer</t>
    <phoneticPr fontId="4" type="noConversion"/>
  </si>
  <si>
    <t>Construction of Namhae Express Highway</t>
    <phoneticPr fontId="4" type="noConversion"/>
  </si>
  <si>
    <t>Site Engineer</t>
    <phoneticPr fontId="4" type="noConversion"/>
  </si>
  <si>
    <t>Malaysia</t>
    <phoneticPr fontId="4" type="noConversion"/>
  </si>
  <si>
    <t>Construction of KL-PJ Highway</t>
    <phoneticPr fontId="4" type="noConversion"/>
  </si>
  <si>
    <t>Site Engineer</t>
    <phoneticPr fontId="4" type="noConversion"/>
  </si>
  <si>
    <t>한일석</t>
    <phoneticPr fontId="4" type="noConversion"/>
  </si>
  <si>
    <t>토목공학</t>
    <phoneticPr fontId="4" type="noConversion"/>
  </si>
  <si>
    <t>유</t>
    <phoneticPr fontId="4" type="noConversion"/>
  </si>
  <si>
    <t>Road</t>
    <phoneticPr fontId="3" type="noConversion"/>
  </si>
  <si>
    <t>Road&amp;Bridge&amp;Port</t>
    <phoneticPr fontId="3" type="noConversion"/>
  </si>
  <si>
    <t>Bridge</t>
    <phoneticPr fontId="3" type="noConversion"/>
  </si>
  <si>
    <t>Railway</t>
    <phoneticPr fontId="3" type="noConversion"/>
  </si>
  <si>
    <t>한일석</t>
    <phoneticPr fontId="4" type="noConversion"/>
  </si>
  <si>
    <t>Road&amp;Bridge</t>
    <phoneticPr fontId="3" type="noConversion"/>
  </si>
  <si>
    <t>김원규</t>
    <phoneticPr fontId="4" type="noConversion"/>
  </si>
  <si>
    <t>학사</t>
    <phoneticPr fontId="4" type="noConversion"/>
  </si>
  <si>
    <t>Srilanka</t>
    <phoneticPr fontId="3" type="noConversion"/>
  </si>
  <si>
    <t>스리랑카 토링턴 터널</t>
    <phoneticPr fontId="3" type="noConversion"/>
  </si>
  <si>
    <t>Singapore</t>
    <phoneticPr fontId="3" type="noConversion"/>
  </si>
  <si>
    <t>Urban Railway Construction Project (Thomson East-Cost Line T203)</t>
    <phoneticPr fontId="3" type="noConversion"/>
  </si>
  <si>
    <t>Railway</t>
    <phoneticPr fontId="3" type="noConversion"/>
  </si>
  <si>
    <t>Project Manager / Sr. Tunnel Engineer</t>
    <phoneticPr fontId="3" type="noConversion"/>
  </si>
  <si>
    <t>Construction of Stations and Tunnels at Hillview and Cashew for Downtown Line Stage 2</t>
    <phoneticPr fontId="3" type="noConversion"/>
  </si>
  <si>
    <t>Vietnam</t>
    <phoneticPr fontId="3" type="noConversion"/>
  </si>
  <si>
    <t>Hanoi-Hiphong Expressway Project (Package 7) in Vietnam</t>
    <phoneticPr fontId="3" type="noConversion"/>
  </si>
  <si>
    <t>Project Manager</t>
    <phoneticPr fontId="3" type="noConversion"/>
  </si>
  <si>
    <t>Tan Son Nhati-Binh Loi-Outer Ring Road Project in Hochiminh City, Vietnam</t>
    <phoneticPr fontId="3" type="noConversion"/>
  </si>
  <si>
    <t>India</t>
    <phoneticPr fontId="3" type="noConversion"/>
  </si>
  <si>
    <t>Ahmedabadi-Vadodara Expressway Project Phase 2 in India</t>
    <phoneticPr fontId="3" type="noConversion"/>
  </si>
  <si>
    <t>Youngwol - Yeondang Road Construction Project</t>
    <phoneticPr fontId="3" type="noConversion"/>
  </si>
  <si>
    <t>Yongdam Dam Water Conveying Tunnel Project</t>
    <phoneticPr fontId="3" type="noConversion"/>
  </si>
  <si>
    <t>Project Manager / Sr. Tunnel Engineer</t>
    <phoneticPr fontId="3" type="noConversion"/>
  </si>
  <si>
    <t>Philippines</t>
    <phoneticPr fontId="3" type="noConversion"/>
  </si>
  <si>
    <t>Construction of Casecnan Multi-Purpose Project in Philippines</t>
    <phoneticPr fontId="3" type="noConversion"/>
  </si>
  <si>
    <t>Site Manager / Sr. Tunnel Engineer</t>
    <phoneticPr fontId="3" type="noConversion"/>
  </si>
  <si>
    <t>Ulsan Industrial Water Conveying Tunnel Construction Project</t>
    <phoneticPr fontId="3" type="noConversion"/>
  </si>
  <si>
    <t>Site Manager / Tunnel Engineer</t>
    <phoneticPr fontId="3" type="noConversion"/>
  </si>
  <si>
    <t>Construction Supervision of Jungbu Expressway Construction Project</t>
    <phoneticPr fontId="3" type="noConversion"/>
  </si>
  <si>
    <t>Schedule Management Engineer</t>
    <phoneticPr fontId="3" type="noConversion"/>
  </si>
  <si>
    <t>Construction Supervision of Han River Multipurpose Development Project</t>
    <phoneticPr fontId="3" type="noConversion"/>
  </si>
  <si>
    <t>Resident Engineer</t>
    <phoneticPr fontId="3" type="noConversion"/>
  </si>
  <si>
    <t>문동렬</t>
    <phoneticPr fontId="4" type="noConversion"/>
  </si>
  <si>
    <t>Team Leader</t>
    <phoneticPr fontId="3" type="noConversion"/>
  </si>
  <si>
    <t>Kenya</t>
    <phoneticPr fontId="3" type="noConversion"/>
  </si>
  <si>
    <t>Consultancy Service for Construction Supervision of Miltinational: Arusha – Holili / Taveta – Voi Road Corridor Development Project Phase I: Upgrading of Mwatate – Taveta (A23) Section</t>
    <phoneticPr fontId="3" type="noConversion"/>
  </si>
  <si>
    <t>Sri Lanka</t>
    <phoneticPr fontId="3" type="noConversion"/>
  </si>
  <si>
    <t>Construction Supervision for Uva Provincial Road (IDA, World Bank), Sri Lanka</t>
    <phoneticPr fontId="3" type="noConversion"/>
  </si>
  <si>
    <t>WB</t>
    <phoneticPr fontId="3" type="noConversion"/>
  </si>
  <si>
    <t xml:space="preserve">Project Manager </t>
    <phoneticPr fontId="3" type="noConversion"/>
  </si>
  <si>
    <t>Detailed Design of Siem Reap Korea Beltway 2nd Phase Project, Cambodia</t>
    <phoneticPr fontId="3" type="noConversion"/>
  </si>
  <si>
    <t>DD</t>
    <phoneticPr fontId="3" type="noConversion"/>
  </si>
  <si>
    <t>Construction Supervision for National Road No.3 Rehabilitation Project PhaseⅢ, Cambodia</t>
    <phoneticPr fontId="3" type="noConversion"/>
  </si>
  <si>
    <t>Libya</t>
    <phoneticPr fontId="3" type="noConversion"/>
  </si>
  <si>
    <t>Construction Supervision of Sirt-Al Hisha Highway Project, Libya</t>
    <phoneticPr fontId="3" type="noConversion"/>
  </si>
  <si>
    <t>Construction Supervision of Songdo-Incheon Road Project</t>
    <phoneticPr fontId="3" type="noConversion"/>
  </si>
  <si>
    <t>The Detailed Design of Padeniya-Anuradhapura highway in Sri Lanka</t>
    <phoneticPr fontId="3" type="noConversion"/>
  </si>
  <si>
    <t xml:space="preserve">Resident Engineer </t>
    <phoneticPr fontId="3" type="noConversion"/>
  </si>
  <si>
    <t>Afghanistan</t>
    <phoneticPr fontId="3" type="noConversion"/>
  </si>
  <si>
    <t>Design-Build Contract for the Rehabilitation of the Balk to Andkhoy Roads, Contract No.MPW/150/D&amp;B/ADB, Afghanistan</t>
    <phoneticPr fontId="3" type="noConversion"/>
  </si>
  <si>
    <t>ADB</t>
    <phoneticPr fontId="3" type="noConversion"/>
  </si>
  <si>
    <t>DD/CS</t>
    <phoneticPr fontId="3" type="noConversion"/>
  </si>
  <si>
    <t xml:space="preserve">Highway Engineer </t>
    <phoneticPr fontId="3" type="noConversion"/>
  </si>
  <si>
    <t>Construction Supervision of Sanglim ~ Haepyeong Roads</t>
    <phoneticPr fontId="3" type="noConversion"/>
  </si>
  <si>
    <t>문동렬</t>
    <phoneticPr fontId="4" type="noConversion"/>
  </si>
  <si>
    <t>Construction of Honam Expressway Road Project</t>
    <phoneticPr fontId="3" type="noConversion"/>
  </si>
  <si>
    <t xml:space="preserve">Construction Supervision for Haeundae New City Bypass Road </t>
    <phoneticPr fontId="3" type="noConversion"/>
  </si>
  <si>
    <t>Construction Supervision for Gwangan Grand Bridge(Two-level Truss) of Container Transport Road</t>
    <phoneticPr fontId="3" type="noConversion"/>
  </si>
  <si>
    <t xml:space="preserve">Construction Supervision for Gupo Bridge Interchange and Approach Road Construction Project </t>
    <phoneticPr fontId="3" type="noConversion"/>
  </si>
  <si>
    <t>Construction Supervision of Construction for Daegu-Chuncheon and Hobeob - Wonju Highway</t>
    <phoneticPr fontId="3" type="noConversion"/>
  </si>
  <si>
    <t>Construction of Great Man-made River (GMR) Project, Libya</t>
    <phoneticPr fontId="3" type="noConversion"/>
  </si>
  <si>
    <t>Sr. Quality Control Engineer</t>
    <phoneticPr fontId="3" type="noConversion"/>
  </si>
  <si>
    <t>Cameroon</t>
    <phoneticPr fontId="3" type="noConversion"/>
  </si>
  <si>
    <t>Construction Supervision of Yaounde – St. Meria Road / Northern National Defense Road / Maltam International Airport</t>
    <phoneticPr fontId="3" type="noConversion"/>
  </si>
  <si>
    <t>Sr. Quality Control Engineer</t>
    <phoneticPr fontId="3" type="noConversion"/>
  </si>
  <si>
    <t>Saudi Arabia</t>
    <phoneticPr fontId="3" type="noConversion"/>
  </si>
  <si>
    <t>Fabrication and Installation of Offshore Petroleum Production and Living Platform Facilities in Zuluf and Marjan, GULF, Saudi Arabia</t>
    <phoneticPr fontId="3" type="noConversion"/>
  </si>
  <si>
    <t>단지/플랜트</t>
    <phoneticPr fontId="3" type="noConversion"/>
  </si>
  <si>
    <t>Material Engineer</t>
    <phoneticPr fontId="3" type="noConversion"/>
  </si>
  <si>
    <t>마정열</t>
    <phoneticPr fontId="4" type="noConversion"/>
  </si>
  <si>
    <t>석사</t>
    <phoneticPr fontId="4" type="noConversion"/>
  </si>
  <si>
    <t>수리및지반공학</t>
    <phoneticPr fontId="4" type="noConversion"/>
  </si>
  <si>
    <t>Myanmar</t>
    <phoneticPr fontId="3" type="noConversion"/>
  </si>
  <si>
    <t>Detailed Design and Construction Supervision for Myanmar GMS Road Modernization (funded by ADB)</t>
    <phoneticPr fontId="3" type="noConversion"/>
  </si>
  <si>
    <t>Team Lead / Sr. Quality Control Engineer</t>
  </si>
  <si>
    <t>마정열</t>
    <phoneticPr fontId="4" type="noConversion"/>
  </si>
  <si>
    <t>Nepal</t>
    <phoneticPr fontId="3" type="noConversion"/>
  </si>
  <si>
    <t>Consultancy Services for Construction Supervision of Rural Connectivity Improvement Project (RCIP) (Funded by ADB)</t>
    <phoneticPr fontId="3" type="noConversion"/>
  </si>
  <si>
    <t>Resident Engineer / Sr. Quality Control Engineer</t>
  </si>
  <si>
    <t>Consultancy Services for Construction Supervision of Miltinational: Arusha-Holili / Taveta - Voi Road Corridor Development Project Phase I: Upgrading of Mwatate - Taveta - Hill Road (A23) (funeded by AfDB)</t>
    <phoneticPr fontId="3" type="noConversion"/>
  </si>
  <si>
    <t>Construction for Shinpung~Woosung Highway Project</t>
    <phoneticPr fontId="3" type="noConversion"/>
  </si>
  <si>
    <t>Quality Control / Material Engineer</t>
  </si>
  <si>
    <t>Construction for Gaebaek Highway Project</t>
    <phoneticPr fontId="3" type="noConversion"/>
  </si>
  <si>
    <t>Quality Control Engineer</t>
  </si>
  <si>
    <t>Detailed Design for Mockpo-Kwangyang Highway (9-2sections)</t>
    <phoneticPr fontId="3" type="noConversion"/>
  </si>
  <si>
    <t>Construction for Unyang-Beomseo Highway Project</t>
    <phoneticPr fontId="3" type="noConversion"/>
  </si>
  <si>
    <t>Construction for Jungbu Highway (Yeoju – Gumi) Project</t>
    <phoneticPr fontId="3" type="noConversion"/>
  </si>
  <si>
    <t>Construction for Daejeon – Tongyoung Highway Project</t>
    <phoneticPr fontId="3" type="noConversion"/>
  </si>
  <si>
    <t>Construction of Youngdong Highway between Hobeop and Wonju Project</t>
    <phoneticPr fontId="3" type="noConversion"/>
  </si>
  <si>
    <t>Construction for Namhae Highway (Naeseo ~ Naengjeong) Project</t>
    <phoneticPr fontId="3" type="noConversion"/>
  </si>
  <si>
    <t>Construction for Jungbu Expressway Section 7</t>
    <phoneticPr fontId="3" type="noConversion"/>
  </si>
  <si>
    <t>•  Kuwait</t>
    <phoneticPr fontId="3" type="noConversion"/>
  </si>
  <si>
    <t>Construction of Azijor desalination and water treatment project</t>
    <phoneticPr fontId="3" type="noConversion"/>
  </si>
  <si>
    <t>Construction for Honam Highway between Jangseong and Gwangjoo</t>
    <phoneticPr fontId="3" type="noConversion"/>
  </si>
  <si>
    <t>Construction for Pavement of Haenam and Jindo Highway</t>
    <phoneticPr fontId="3" type="noConversion"/>
  </si>
  <si>
    <t>Construction for Dernado Road Pavement Project</t>
    <phoneticPr fontId="3" type="noConversion"/>
  </si>
  <si>
    <t>•  Libya</t>
    <phoneticPr fontId="3" type="noConversion"/>
  </si>
  <si>
    <t>Construction of Ras Lanuf Port Project</t>
    <phoneticPr fontId="3" type="noConversion"/>
  </si>
  <si>
    <t>Port</t>
    <phoneticPr fontId="3" type="noConversion"/>
  </si>
  <si>
    <t>Construction of Al Kohba Residential Complex</t>
    <phoneticPr fontId="3" type="noConversion"/>
  </si>
  <si>
    <t>Construction for National Costal Road Project Phase 1</t>
    <phoneticPr fontId="3" type="noConversion"/>
  </si>
  <si>
    <t>Construction for Costal road between Pohang and Guryoungpo</t>
    <phoneticPr fontId="3" type="noConversion"/>
  </si>
  <si>
    <t>임승빈</t>
    <phoneticPr fontId="4" type="noConversion"/>
  </si>
  <si>
    <t>학사</t>
    <phoneticPr fontId="4" type="noConversion"/>
  </si>
  <si>
    <t>토목공학</t>
    <phoneticPr fontId="4" type="noConversion"/>
  </si>
  <si>
    <t>Pakistan</t>
    <phoneticPr fontId="3" type="noConversion"/>
  </si>
  <si>
    <t>Consultancy Services for Sindh Provincial Road Improvement Project Consultancy in Pakistan (Design Review and support of Provincial Road Construction Supervision)</t>
    <phoneticPr fontId="3" type="noConversion"/>
  </si>
  <si>
    <t>Team Leader / Supervision Phase</t>
    <phoneticPr fontId="3" type="noConversion"/>
  </si>
  <si>
    <t>Vietnam</t>
    <phoneticPr fontId="3" type="noConversion"/>
  </si>
  <si>
    <t>Second Northern Greater Mekong Sub-Regional Transport Networks Improvement Project (Highway No.217 Construction Supervision)</t>
    <phoneticPr fontId="3" type="noConversion"/>
  </si>
  <si>
    <t>Construction Supervision for Vinh Thinh Bridge and Approach Road Construction</t>
    <phoneticPr fontId="3" type="noConversion"/>
  </si>
  <si>
    <t>Road/Bridge</t>
  </si>
  <si>
    <t>Connecting Road between Chojung and Hwamyeong(Hwamyeong Grand Bridge)</t>
    <phoneticPr fontId="3" type="noConversion"/>
  </si>
  <si>
    <t xml:space="preserve">Deputy Project Manager </t>
    <phoneticPr fontId="3" type="noConversion"/>
  </si>
  <si>
    <t>임승빈</t>
    <phoneticPr fontId="4" type="noConversion"/>
  </si>
  <si>
    <t>MARAFIQ Power Plant, Saudi Arabia</t>
    <phoneticPr fontId="3" type="noConversion"/>
  </si>
  <si>
    <t>플랜트</t>
    <phoneticPr fontId="3" type="noConversion"/>
  </si>
  <si>
    <t>Deputy Project Manager / Resident Engineer</t>
    <phoneticPr fontId="3" type="noConversion"/>
  </si>
  <si>
    <t>Korea</t>
    <phoneticPr fontId="3" type="noConversion"/>
  </si>
  <si>
    <t>Iksan-Jangsu Expressway (Lot No. 7)</t>
    <phoneticPr fontId="3" type="noConversion"/>
  </si>
  <si>
    <t>CS</t>
    <phoneticPr fontId="3" type="noConversion"/>
  </si>
  <si>
    <t>Deputy Project Manager / Resident Engineer</t>
    <phoneticPr fontId="3" type="noConversion"/>
  </si>
  <si>
    <t>Construction Supervision for Wando-Sinji Bridge</t>
    <phoneticPr fontId="3" type="noConversion"/>
  </si>
  <si>
    <t>Construction of Gugok Resident District Development (Packgae No.1)</t>
    <phoneticPr fontId="3" type="noConversion"/>
  </si>
  <si>
    <t>단지</t>
    <phoneticPr fontId="3" type="noConversion"/>
  </si>
  <si>
    <t>Construction Manager</t>
    <phoneticPr fontId="3" type="noConversion"/>
  </si>
  <si>
    <t>Construction of Janglim Detention Reservoir</t>
    <phoneticPr fontId="3" type="noConversion"/>
  </si>
  <si>
    <t>Civil Engineer</t>
    <phoneticPr fontId="3" type="noConversion"/>
  </si>
  <si>
    <t>Busan 2nd Expressway Construction Project</t>
    <phoneticPr fontId="3" type="noConversion"/>
  </si>
  <si>
    <t>임승빈</t>
    <phoneticPr fontId="4" type="noConversion"/>
  </si>
  <si>
    <t>Libya</t>
    <phoneticPr fontId="3" type="noConversion"/>
  </si>
  <si>
    <t xml:space="preserve">Derna Port Construction Project, Libya </t>
    <phoneticPr fontId="3" type="noConversion"/>
  </si>
  <si>
    <t>Extension of Kukdong Refinery</t>
    <phoneticPr fontId="3" type="noConversion"/>
  </si>
  <si>
    <t>플랜트</t>
    <phoneticPr fontId="3" type="noConversion"/>
  </si>
  <si>
    <t>Metropolitan Water Supply Facility in Daecheong Dam</t>
    <phoneticPr fontId="3" type="noConversion"/>
  </si>
  <si>
    <t>수자원</t>
    <phoneticPr fontId="3" type="noConversion"/>
  </si>
  <si>
    <t>Jindo Grand Bridge</t>
    <phoneticPr fontId="3" type="noConversion"/>
  </si>
  <si>
    <t>Ras Lanuf Port and Access Road Construction Project, Libya</t>
    <phoneticPr fontId="3" type="noConversion"/>
  </si>
  <si>
    <t>Civil Engineer</t>
    <phoneticPr fontId="3" type="noConversion"/>
  </si>
  <si>
    <t>Construction of King Fahad Industrial Port Jubail, Saudi Arabia</t>
    <phoneticPr fontId="3" type="noConversion"/>
  </si>
  <si>
    <t>김덕민</t>
    <phoneticPr fontId="4" type="noConversion"/>
  </si>
  <si>
    <t>석사</t>
    <phoneticPr fontId="4" type="noConversion"/>
  </si>
  <si>
    <t>도로교량공학</t>
    <phoneticPr fontId="4" type="noConversion"/>
  </si>
  <si>
    <t>O</t>
    <phoneticPr fontId="4" type="noConversion"/>
  </si>
  <si>
    <t>유</t>
    <phoneticPr fontId="4" type="noConversion"/>
  </si>
  <si>
    <t>ADB</t>
    <phoneticPr fontId="3" type="noConversion"/>
  </si>
  <si>
    <t>Team Leader/Chief Resident Engineer</t>
    <phoneticPr fontId="3" type="noConversion"/>
  </si>
  <si>
    <t>Road</t>
    <phoneticPr fontId="4" type="noConversion"/>
  </si>
  <si>
    <t>Airport</t>
    <phoneticPr fontId="4" type="noConversion"/>
  </si>
  <si>
    <t>Ethiopia</t>
    <phoneticPr fontId="3" type="noConversion"/>
  </si>
  <si>
    <t>Construction Supervision of Design, Improvement Works and Management and Maintenance Services for the Nekemte-Bure Road Upgrading Project, under an Output and Performance Based Road Contract (OPRC) [Design-Build-Maintain], Lot-3 : Agamsa - Dure Section (84.56 km)  (Funded by World Bank)</t>
    <phoneticPr fontId="3" type="noConversion"/>
  </si>
  <si>
    <t>Road</t>
    <phoneticPr fontId="3" type="noConversion"/>
  </si>
  <si>
    <t>CS&amp;DD</t>
    <phoneticPr fontId="3" type="noConversion"/>
  </si>
  <si>
    <t>Construction Management of Railways for Sulphur Loading Facility Project</t>
    <phoneticPr fontId="3" type="noConversion"/>
  </si>
  <si>
    <t>Railway</t>
    <phoneticPr fontId="3" type="noConversion"/>
  </si>
  <si>
    <t xml:space="preserve">Quality Control Supervisor </t>
    <phoneticPr fontId="3" type="noConversion"/>
  </si>
  <si>
    <t>Algeria</t>
    <phoneticPr fontId="3" type="noConversion"/>
  </si>
  <si>
    <t xml:space="preserve">Construction Management of 4-lane Urban Highway/Expressway(Ring Road) and Infrastructure of New City of Sidi Abdullah Development Project </t>
    <phoneticPr fontId="3" type="noConversion"/>
  </si>
  <si>
    <t>Project Manager</t>
    <phoneticPr fontId="3" type="noConversion"/>
  </si>
  <si>
    <t xml:space="preserve">Construction Supervision of Tripoli-Sirte Libyan High Speed Railway Project </t>
    <phoneticPr fontId="3" type="noConversion"/>
  </si>
  <si>
    <t xml:space="preserve">Construction Management for 4-lane Highway and Infrastructure of AL-KHUMS Infrastructure Project </t>
    <phoneticPr fontId="3" type="noConversion"/>
  </si>
  <si>
    <t>EDCF</t>
    <phoneticPr fontId="3" type="noConversion"/>
  </si>
  <si>
    <t>Mongolia</t>
    <phoneticPr fontId="3" type="noConversion"/>
  </si>
  <si>
    <t>Construction Management for Erdenet-Bulgan-Unt Road Construction Project (Length of 154km) (Funded by Kuwait Appraisal Fund, contract based on FIDIC)</t>
    <phoneticPr fontId="3" type="noConversion"/>
  </si>
  <si>
    <t>Construction Management for Modjo-Awash-Arba Road Rehabilitation Project (Length 160km), Two-lane Carriageway, Drainage and Bridge / Construction for Hirna-Kulubi Road Upgrading Project (Length 91 km) (Funded by World Bank)</t>
    <phoneticPr fontId="3" type="noConversion"/>
  </si>
  <si>
    <t>Construction supervision for Shi-Heung City Housing Development Project” [1,000,000 sq.m. area] executed under Korean Government Standard Condition of Contract for Civil Works (Funded by Local Government of Korea)</t>
    <phoneticPr fontId="3" type="noConversion"/>
  </si>
  <si>
    <t xml:space="preserve">Construction Supervision for Yangyang-Galchon Road Upgrading Project executed under Korean Government Standard Condition of Contract </t>
    <phoneticPr fontId="3" type="noConversion"/>
  </si>
  <si>
    <t>Construction Supervision for the Ul-jin #5&amp;6 Nuclear Power Plant. [1Mega Kw/h of each] executed under Korean Government Standard Condition of Contract (Funded by Korea Electric Power Corporation)</t>
    <phoneticPr fontId="3" type="noConversion"/>
  </si>
  <si>
    <t>Chief Resident Engineer/Quality Surveillance Engineer</t>
    <phoneticPr fontId="3" type="noConversion"/>
  </si>
  <si>
    <t>Construction Supervision for the Young-Kwang #3&amp;4 Nuclear Power Plant. [1Mega Kwh of each] executed under Korea Electric Power Corporation Standard condition of Contract (Funded by Korea Electric Power Corporation)</t>
    <phoneticPr fontId="3" type="noConversion"/>
  </si>
  <si>
    <t>Construction Management for the Circular Road and Other Infrastructure of Dammam Industrial City Ph.III Development. (Funded by Ministry of Industrial Electricity of SAUDI ARABIA)</t>
    <phoneticPr fontId="3" type="noConversion"/>
  </si>
  <si>
    <t>Material Engineer</t>
    <phoneticPr fontId="3" type="noConversion"/>
  </si>
  <si>
    <t>Construction Management for Approach Road and Saudi Arabia National Guard Hospital &amp; Medical City of Jeddah. (Funded by Ministry of Defense of Saudi Arabia)</t>
    <phoneticPr fontId="3" type="noConversion"/>
  </si>
  <si>
    <t xml:space="preserve">  Construction Management for the project 4.1 Saudi Arabia Air Force Domestic Accommodation (Funded by Ministry of Defense of Saudi Arabia)</t>
    <phoneticPr fontId="3" type="noConversion"/>
  </si>
  <si>
    <t>권오현</t>
    <phoneticPr fontId="4" type="noConversion"/>
  </si>
  <si>
    <t>지반공학</t>
    <phoneticPr fontId="4" type="noConversion"/>
  </si>
  <si>
    <t>권오현</t>
    <phoneticPr fontId="4" type="noConversion"/>
  </si>
  <si>
    <t>Road&amp;Tunnel</t>
    <phoneticPr fontId="3" type="noConversion"/>
  </si>
  <si>
    <t>Tunnel</t>
    <phoneticPr fontId="3" type="noConversion"/>
  </si>
  <si>
    <t>김형구</t>
    <phoneticPr fontId="4" type="noConversion"/>
  </si>
  <si>
    <t>박사</t>
    <phoneticPr fontId="4" type="noConversion"/>
  </si>
  <si>
    <t>Construction / Responsibility Supervision engineer</t>
    <phoneticPr fontId="3" type="noConversion"/>
  </si>
  <si>
    <t>Bridge</t>
    <phoneticPr fontId="3" type="noConversion"/>
  </si>
  <si>
    <t>Bridge</t>
    <phoneticPr fontId="3" type="noConversion"/>
  </si>
  <si>
    <t>김형구</t>
    <phoneticPr fontId="4" type="noConversion"/>
  </si>
  <si>
    <t>Plant</t>
    <phoneticPr fontId="3" type="noConversion"/>
  </si>
  <si>
    <t>김창규</t>
    <phoneticPr fontId="4" type="noConversion"/>
  </si>
  <si>
    <t>구조공학</t>
    <phoneticPr fontId="4" type="noConversion"/>
  </si>
  <si>
    <t>유</t>
    <phoneticPr fontId="4" type="noConversion"/>
  </si>
  <si>
    <t>Road&amp;Bridge</t>
    <phoneticPr fontId="3" type="noConversion"/>
  </si>
  <si>
    <t>김창규</t>
    <phoneticPr fontId="4" type="noConversion"/>
  </si>
  <si>
    <t>학사</t>
    <phoneticPr fontId="4" type="noConversion"/>
  </si>
  <si>
    <t>토목공학</t>
    <phoneticPr fontId="4" type="noConversion"/>
  </si>
  <si>
    <t>O</t>
    <phoneticPr fontId="4" type="noConversion"/>
  </si>
  <si>
    <t>유</t>
    <phoneticPr fontId="4" type="noConversion"/>
  </si>
  <si>
    <t>Korea</t>
    <phoneticPr fontId="3" type="noConversion"/>
  </si>
  <si>
    <t xml:space="preserve"> Guri-Pocheon Expressway, Lot 8</t>
    <phoneticPr fontId="3" type="noConversion"/>
  </si>
  <si>
    <t>Project Director</t>
    <phoneticPr fontId="3" type="noConversion"/>
  </si>
  <si>
    <t>Airport</t>
  </si>
  <si>
    <t>Singapore</t>
    <phoneticPr fontId="3" type="noConversion"/>
  </si>
  <si>
    <t>Singapore Marina Coastal Expressway Construction (C487)</t>
    <phoneticPr fontId="3" type="noConversion"/>
  </si>
  <si>
    <t>Road</t>
    <phoneticPr fontId="3" type="noConversion"/>
  </si>
  <si>
    <t>Ulsan ~ Pohang Double Track Railway Construction</t>
    <phoneticPr fontId="3" type="noConversion"/>
  </si>
  <si>
    <t>Railway</t>
    <phoneticPr fontId="3" type="noConversion"/>
  </si>
  <si>
    <t>Double Track Railway for Samrangjin ~ Jinju Gyeongjeon Line Construction Project, Lot 5 (Masan ~ Haman)</t>
    <phoneticPr fontId="3" type="noConversion"/>
  </si>
  <si>
    <t>Gyeongbu High Speed Railway Roadbed Construction Project, Lot 11-2</t>
    <phoneticPr fontId="3" type="noConversion"/>
  </si>
  <si>
    <t>Project Manager</t>
    <phoneticPr fontId="3" type="noConversion"/>
  </si>
  <si>
    <t>Sihwa Multi Techno Valley Construction Project, Lot 3</t>
    <phoneticPr fontId="3" type="noConversion"/>
  </si>
  <si>
    <t>Construction Manager</t>
    <phoneticPr fontId="3" type="noConversion"/>
  </si>
  <si>
    <t>Cheongwon ~ Sangju Highway Construction Project, Section 3</t>
    <phoneticPr fontId="3" type="noConversion"/>
  </si>
  <si>
    <t>Cost &amp; Schedule Engineer</t>
    <phoneticPr fontId="3" type="noConversion"/>
  </si>
  <si>
    <t xml:space="preserve">Namhae(Southern Sea) Expressway (Naeseo – Naengjung) 8-lane Widening Construction </t>
    <phoneticPr fontId="3" type="noConversion"/>
  </si>
  <si>
    <t>Egypt</t>
    <phoneticPr fontId="3" type="noConversion"/>
  </si>
  <si>
    <t>Kureimat Power Station(2 x 600MW), Civil Works</t>
    <phoneticPr fontId="3" type="noConversion"/>
  </si>
  <si>
    <t>Saudi Arabia</t>
    <phoneticPr fontId="3" type="noConversion"/>
  </si>
  <si>
    <t xml:space="preserve">King Fahd International Airport  </t>
    <phoneticPr fontId="3" type="noConversion"/>
  </si>
  <si>
    <t>Airport</t>
    <phoneticPr fontId="3" type="noConversion"/>
  </si>
  <si>
    <t>Project Coordinator</t>
    <phoneticPr fontId="3" type="noConversion"/>
  </si>
  <si>
    <t>Kuwait</t>
    <phoneticPr fontId="3" type="noConversion"/>
  </si>
  <si>
    <t>Kuwait Zahra Motorway</t>
    <phoneticPr fontId="3" type="noConversion"/>
  </si>
  <si>
    <t>Project Coordinator</t>
    <phoneticPr fontId="3" type="noConversion"/>
  </si>
  <si>
    <t>Malaysia</t>
    <phoneticPr fontId="3" type="noConversion"/>
  </si>
  <si>
    <t>Sandakan Airport Project, Malaysia</t>
    <phoneticPr fontId="3" type="noConversion"/>
  </si>
  <si>
    <t>Cost &amp; Schedule Engimeer</t>
    <phoneticPr fontId="3" type="noConversion"/>
  </si>
  <si>
    <t>박사</t>
    <phoneticPr fontId="4" type="noConversion"/>
  </si>
  <si>
    <t>지반공학</t>
    <phoneticPr fontId="4" type="noConversion"/>
  </si>
  <si>
    <t>O</t>
    <phoneticPr fontId="4" type="noConversion"/>
  </si>
  <si>
    <t>Bridge</t>
    <phoneticPr fontId="3" type="noConversion"/>
  </si>
  <si>
    <t>석사</t>
    <phoneticPr fontId="4" type="noConversion"/>
  </si>
  <si>
    <t>Road&amp;Bridge</t>
    <phoneticPr fontId="3" type="noConversion"/>
  </si>
  <si>
    <t>석사</t>
    <phoneticPr fontId="4" type="noConversion"/>
  </si>
  <si>
    <t>토목공학</t>
    <phoneticPr fontId="4" type="noConversion"/>
  </si>
  <si>
    <t>O</t>
    <phoneticPr fontId="4" type="noConversion"/>
  </si>
  <si>
    <t>유</t>
    <phoneticPr fontId="4" type="noConversion"/>
  </si>
  <si>
    <t>Korea</t>
    <phoneticPr fontId="3" type="noConversion"/>
  </si>
  <si>
    <t>Bridge</t>
    <phoneticPr fontId="3" type="noConversion"/>
  </si>
  <si>
    <t>Tunnel</t>
    <phoneticPr fontId="3" type="noConversion"/>
  </si>
  <si>
    <t>Road&amp;Tunnel</t>
    <phoneticPr fontId="3" type="noConversion"/>
  </si>
  <si>
    <t>Railway</t>
    <phoneticPr fontId="3" type="noConversion"/>
  </si>
  <si>
    <t>무</t>
    <phoneticPr fontId="4" type="noConversion"/>
  </si>
  <si>
    <t>Korea-Myanmar Friendship (Dala) Bridge Construction</t>
    <phoneticPr fontId="3" type="noConversion"/>
  </si>
  <si>
    <t>Construction of Vam Cong Bridge</t>
    <phoneticPr fontId="3" type="noConversion"/>
  </si>
  <si>
    <t>Construction of Access Road to Industrial Complex in Yeosu</t>
    <phoneticPr fontId="3" type="noConversion"/>
  </si>
  <si>
    <t>Construction of Access Road to Industrial Complex in Yeosu</t>
    <phoneticPr fontId="3" type="noConversion"/>
  </si>
  <si>
    <t>Construction of Relief Road (Goha-Jukkyo) in Mokpo City</t>
    <phoneticPr fontId="3" type="noConversion"/>
  </si>
  <si>
    <t>Head Office / Marketing Team</t>
    <phoneticPr fontId="3" type="noConversion"/>
  </si>
  <si>
    <t>Construction of Expressway between Dangjin and Daejeon</t>
    <phoneticPr fontId="3" type="noConversion"/>
  </si>
  <si>
    <t>Road</t>
    <phoneticPr fontId="3" type="noConversion"/>
  </si>
  <si>
    <t>Construction of Seohae Expressway between Dangjin and Seochun</t>
    <phoneticPr fontId="3" type="noConversion"/>
  </si>
  <si>
    <t>Extension Works of Honam Expressway between Geosu and Sunchun</t>
    <phoneticPr fontId="3" type="noConversion"/>
  </si>
  <si>
    <t>Headquarter of Domestic Construction Management</t>
    <phoneticPr fontId="3" type="noConversion"/>
  </si>
  <si>
    <t>Extension Works of National Road (No.7) between To sung and Gansung</t>
    <phoneticPr fontId="3" type="noConversion"/>
  </si>
  <si>
    <t>Construction of Seohae Expressway between Incheon and Ansan</t>
    <phoneticPr fontId="3" type="noConversion"/>
  </si>
  <si>
    <t>Extension Works of Gyeongbu Expressway between Suwon and Chungwon</t>
    <phoneticPr fontId="3" type="noConversion"/>
  </si>
  <si>
    <t>Construction of Resort in Muju Mountain</t>
    <phoneticPr fontId="3" type="noConversion"/>
  </si>
  <si>
    <t>Headquarter of Public Works in Domestic Country</t>
    <phoneticPr fontId="3" type="noConversion"/>
  </si>
  <si>
    <t>Construction of Army Troop’s Facilities</t>
    <phoneticPr fontId="3" type="noConversion"/>
  </si>
  <si>
    <t>학사</t>
    <phoneticPr fontId="4" type="noConversion"/>
  </si>
  <si>
    <t>O</t>
    <phoneticPr fontId="4" type="noConversion"/>
  </si>
  <si>
    <t>Nepal</t>
    <phoneticPr fontId="3" type="noConversion"/>
  </si>
  <si>
    <t>KTFT</t>
    <phoneticPr fontId="3" type="noConversion"/>
  </si>
  <si>
    <t>Road</t>
    <phoneticPr fontId="3" type="noConversion"/>
  </si>
  <si>
    <t>CS</t>
    <phoneticPr fontId="3" type="noConversion"/>
  </si>
  <si>
    <t>DD</t>
    <phoneticPr fontId="3" type="noConversion"/>
  </si>
  <si>
    <t>Bridge</t>
    <phoneticPr fontId="3" type="noConversion"/>
  </si>
  <si>
    <t>Detailed Design for Expressway between Pyungtaek-Asan (Hilly/Mountainous terrain)</t>
    <phoneticPr fontId="3" type="noConversion"/>
  </si>
  <si>
    <t>Detailed Design for Multi-regional Transportation Facility (1 Phase) between Multifunctional Administrative City and Osong Station of High Speed Railway</t>
    <phoneticPr fontId="3" type="noConversion"/>
  </si>
  <si>
    <t>Railway</t>
    <phoneticPr fontId="3" type="noConversion"/>
  </si>
  <si>
    <t>DD</t>
    <phoneticPr fontId="3" type="noConversion"/>
  </si>
  <si>
    <t>Bridge</t>
    <phoneticPr fontId="3" type="noConversion"/>
  </si>
  <si>
    <t>박사</t>
    <phoneticPr fontId="4" type="noConversion"/>
  </si>
  <si>
    <t>토목공학</t>
    <phoneticPr fontId="4" type="noConversion"/>
  </si>
  <si>
    <t>ADB</t>
    <phoneticPr fontId="4" type="noConversion"/>
  </si>
  <si>
    <t>Team Leader / Senior Rural Road Specialist</t>
    <phoneticPr fontId="4" type="noConversion"/>
  </si>
  <si>
    <t>Consultancy Services as Assistant to Employer’s Representative (AER) for Peshawar- Karachi Motorway(PKM), Lahore-Multan Section, M-3(L=230km)</t>
    <phoneticPr fontId="3" type="noConversion"/>
  </si>
  <si>
    <t>Road</t>
    <phoneticPr fontId="3" type="noConversion"/>
  </si>
  <si>
    <r>
      <rPr>
        <b/>
        <sz val="11"/>
        <color theme="1"/>
        <rFont val="맑은 고딕"/>
        <family val="3"/>
        <charset val="129"/>
      </rPr>
      <t>교체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및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투입현황</t>
    </r>
    <phoneticPr fontId="3" type="noConversion"/>
  </si>
  <si>
    <t>분야1</t>
    <phoneticPr fontId="3" type="noConversion"/>
  </si>
  <si>
    <t>분야2</t>
    <phoneticPr fontId="3" type="noConversion"/>
  </si>
  <si>
    <r>
      <rPr>
        <b/>
        <sz val="11"/>
        <color theme="1"/>
        <rFont val="맑은 고딕"/>
        <family val="3"/>
        <charset val="129"/>
      </rPr>
      <t>총경력</t>
    </r>
    <r>
      <rPr>
        <b/>
        <sz val="11"/>
        <color theme="1"/>
        <rFont val="Arial"/>
        <family val="2"/>
      </rPr>
      <t>(</t>
    </r>
    <r>
      <rPr>
        <b/>
        <sz val="11"/>
        <color theme="1"/>
        <rFont val="맑은 고딕"/>
        <family val="3"/>
        <charset val="129"/>
      </rPr>
      <t>년</t>
    </r>
    <r>
      <rPr>
        <b/>
        <sz val="11"/>
        <color theme="1"/>
        <rFont val="Arial"/>
        <family val="2"/>
      </rPr>
      <t>)</t>
    </r>
    <phoneticPr fontId="3" type="noConversion"/>
  </si>
  <si>
    <r>
      <t>Team Ledaer(</t>
    </r>
    <r>
      <rPr>
        <b/>
        <sz val="11"/>
        <color theme="1"/>
        <rFont val="맑은 고딕"/>
        <family val="3"/>
        <charset val="129"/>
      </rPr>
      <t>년</t>
    </r>
    <r>
      <rPr>
        <b/>
        <sz val="11"/>
        <color theme="1"/>
        <rFont val="Arial"/>
        <family val="2"/>
      </rPr>
      <t>)</t>
    </r>
    <phoneticPr fontId="3" type="noConversion"/>
  </si>
  <si>
    <r>
      <t>Team Ledaer(</t>
    </r>
    <r>
      <rPr>
        <b/>
        <sz val="11"/>
        <color theme="1"/>
        <rFont val="맑은 고딕"/>
        <family val="3"/>
        <charset val="129"/>
      </rPr>
      <t>수</t>
    </r>
    <r>
      <rPr>
        <b/>
        <sz val="11"/>
        <color theme="1"/>
        <rFont val="Arial"/>
        <family val="2"/>
      </rPr>
      <t>)</t>
    </r>
    <phoneticPr fontId="3" type="noConversion"/>
  </si>
  <si>
    <t>Airport Project횟수</t>
    <phoneticPr fontId="3" type="noConversion"/>
  </si>
  <si>
    <t>Road Project 횟수</t>
    <phoneticPr fontId="3" type="noConversion"/>
  </si>
  <si>
    <r>
      <t>Airport Project(</t>
    </r>
    <r>
      <rPr>
        <b/>
        <sz val="11"/>
        <color theme="1"/>
        <rFont val="돋움"/>
        <family val="3"/>
        <charset val="129"/>
      </rPr>
      <t>년</t>
    </r>
    <r>
      <rPr>
        <b/>
        <sz val="11"/>
        <color theme="1"/>
        <rFont val="Arial"/>
        <family val="2"/>
      </rPr>
      <t>)</t>
    </r>
    <phoneticPr fontId="3" type="noConversion"/>
  </si>
  <si>
    <r>
      <t>Road Project(</t>
    </r>
    <r>
      <rPr>
        <b/>
        <sz val="11"/>
        <color theme="1"/>
        <rFont val="돋움"/>
        <family val="3"/>
        <charset val="129"/>
      </rPr>
      <t>년</t>
    </r>
    <r>
      <rPr>
        <b/>
        <sz val="11"/>
        <color theme="1"/>
        <rFont val="Arial"/>
        <family val="2"/>
      </rPr>
      <t>)</t>
    </r>
    <phoneticPr fontId="3" type="noConversion"/>
  </si>
  <si>
    <t>해외 경력(년)</t>
    <phoneticPr fontId="3" type="noConversion"/>
  </si>
  <si>
    <t>해외 프로젝트 수</t>
    <phoneticPr fontId="3" type="noConversion"/>
  </si>
  <si>
    <r>
      <t>Extention D’Alger Metro Phase1</t>
    </r>
    <r>
      <rPr>
        <sz val="11"/>
        <color theme="1"/>
        <rFont val="맑은 고딕"/>
        <family val="3"/>
        <charset val="129"/>
        <scheme val="minor"/>
      </rPr>
      <t>(COSIDER Traboux &amp; construction)</t>
    </r>
    <phoneticPr fontId="3" type="noConversion"/>
  </si>
  <si>
    <t>석사</t>
    <phoneticPr fontId="3" type="noConversion"/>
  </si>
  <si>
    <t>토목공학, 경영학</t>
    <phoneticPr fontId="3" type="noConversion"/>
  </si>
  <si>
    <t>동티모르 니콜라우 로바투 공항</t>
    <phoneticPr fontId="4" type="noConversion"/>
  </si>
  <si>
    <t>배종규</t>
    <phoneticPr fontId="3" type="noConversion"/>
  </si>
  <si>
    <t>학사</t>
    <phoneticPr fontId="3" type="noConversion"/>
  </si>
  <si>
    <t>토목공학</t>
    <phoneticPr fontId="3" type="noConversion"/>
  </si>
  <si>
    <t>배종규</t>
    <phoneticPr fontId="3" type="noConversion"/>
  </si>
  <si>
    <t>배종규</t>
    <phoneticPr fontId="3" type="noConversion"/>
  </si>
  <si>
    <t>배종규</t>
    <phoneticPr fontId="3" type="noConversion"/>
  </si>
  <si>
    <t>황정규</t>
    <phoneticPr fontId="3" type="noConversion"/>
  </si>
  <si>
    <t>샤잘랄공항</t>
    <phoneticPr fontId="4" type="noConversion"/>
  </si>
  <si>
    <t>황정규</t>
    <phoneticPr fontId="3" type="noConversion"/>
  </si>
  <si>
    <r>
      <t>Construction Supervision for Digging and Foundation piles, Backfill of Incheon International Airport Terminal 2, 4</t>
    </r>
    <r>
      <rPr>
        <vertAlign val="superscript"/>
        <sz val="11"/>
        <color theme="1"/>
        <rFont val="맑은 고딕"/>
        <family val="3"/>
        <charset val="129"/>
        <scheme val="minor"/>
      </rPr>
      <t>rd</t>
    </r>
    <r>
      <rPr>
        <sz val="11"/>
        <color theme="1"/>
        <rFont val="맑은 고딕"/>
        <family val="3"/>
        <charset val="129"/>
        <scheme val="minor"/>
      </rPr>
      <t xml:space="preserve">  Phase Construction</t>
    </r>
    <phoneticPr fontId="4" type="noConversion"/>
  </si>
  <si>
    <r>
      <t>Consulting Services of Design and Construction Supervision for Development of Cox’s Bazar Airport(1</t>
    </r>
    <r>
      <rPr>
        <vertAlign val="superscript"/>
        <sz val="11"/>
        <color theme="1"/>
        <rFont val="맑은 고딕"/>
        <family val="3"/>
        <charset val="129"/>
        <scheme val="minor"/>
      </rPr>
      <t>st</t>
    </r>
    <r>
      <rPr>
        <sz val="11"/>
        <color theme="1"/>
        <rFont val="맑은 고딕"/>
        <family val="3"/>
        <charset val="129"/>
        <scheme val="minor"/>
      </rPr>
      <t xml:space="preserve"> Phase)</t>
    </r>
    <phoneticPr fontId="4" type="noConversion"/>
  </si>
  <si>
    <r>
      <t>Construction Supervision for Digging and Foundation piles, Backfill of Incheon International Airport Terminal 2, 3</t>
    </r>
    <r>
      <rPr>
        <vertAlign val="superscript"/>
        <sz val="11"/>
        <color theme="1"/>
        <rFont val="맑은 고딕"/>
        <family val="3"/>
        <charset val="129"/>
        <scheme val="minor"/>
      </rPr>
      <t>rd</t>
    </r>
    <r>
      <rPr>
        <sz val="11"/>
        <color theme="1"/>
        <rFont val="맑은 고딕"/>
        <family val="3"/>
        <charset val="129"/>
        <scheme val="minor"/>
      </rPr>
      <t xml:space="preserve"> Phase Construction</t>
    </r>
    <phoneticPr fontId="4" type="noConversion"/>
  </si>
  <si>
    <t>황정규</t>
    <phoneticPr fontId="3" type="noConversion"/>
  </si>
  <si>
    <r>
      <t>Preliminary and Detailed Design of Construction for Inchon International Airport (2</t>
    </r>
    <r>
      <rPr>
        <vertAlign val="superscript"/>
        <sz val="11"/>
        <color theme="1"/>
        <rFont val="맑은 고딕"/>
        <family val="3"/>
        <charset val="129"/>
        <scheme val="minor"/>
      </rPr>
      <t>nd</t>
    </r>
    <r>
      <rPr>
        <sz val="11"/>
        <color theme="1"/>
        <rFont val="맑은 고딕"/>
        <family val="3"/>
        <charset val="129"/>
        <scheme val="minor"/>
      </rPr>
      <t xml:space="preserve"> Phase)</t>
    </r>
    <phoneticPr fontId="4" type="noConversion"/>
  </si>
  <si>
    <t>황정규</t>
    <phoneticPr fontId="3" type="noConversion"/>
  </si>
  <si>
    <t>박종호</t>
    <phoneticPr fontId="3" type="noConversion"/>
  </si>
  <si>
    <t>전기공학</t>
    <phoneticPr fontId="3" type="noConversion"/>
  </si>
  <si>
    <t>MOI 공항</t>
    <phoneticPr fontId="4" type="noConversion"/>
  </si>
  <si>
    <t>호이락 과학기술도시</t>
    <phoneticPr fontId="4" type="noConversion"/>
  </si>
  <si>
    <t>단지</t>
    <phoneticPr fontId="4" type="noConversion"/>
  </si>
  <si>
    <t>박종호</t>
    <phoneticPr fontId="3" type="noConversion"/>
  </si>
  <si>
    <t>단지</t>
    <phoneticPr fontId="4" type="noConversion"/>
  </si>
  <si>
    <t>박종호</t>
    <phoneticPr fontId="3" type="noConversion"/>
  </si>
  <si>
    <t>조현모</t>
    <phoneticPr fontId="4" type="noConversion"/>
  </si>
  <si>
    <t>토목공학</t>
    <phoneticPr fontId="4" type="noConversion"/>
  </si>
  <si>
    <t>토목기사</t>
    <phoneticPr fontId="4" type="noConversion"/>
  </si>
  <si>
    <t>조현모</t>
    <phoneticPr fontId="4" type="noConversion"/>
  </si>
  <si>
    <t>조현모</t>
    <phoneticPr fontId="4" type="noConversion"/>
  </si>
  <si>
    <t>한상철</t>
    <phoneticPr fontId="4" type="noConversion"/>
  </si>
  <si>
    <t>학사</t>
    <phoneticPr fontId="4" type="noConversion"/>
  </si>
  <si>
    <t>건설재료시험기사</t>
    <phoneticPr fontId="4" type="noConversion"/>
  </si>
  <si>
    <t>한상철</t>
    <phoneticPr fontId="4" type="noConversion"/>
  </si>
  <si>
    <t>노규철</t>
    <phoneticPr fontId="4" type="noConversion"/>
  </si>
  <si>
    <t>학사</t>
    <phoneticPr fontId="4" type="noConversion"/>
  </si>
  <si>
    <t>무</t>
    <phoneticPr fontId="4" type="noConversion"/>
  </si>
  <si>
    <t>건설안전기사,건설재료시험기사, 토목기사</t>
    <phoneticPr fontId="4" type="noConversion"/>
  </si>
  <si>
    <t>노규철</t>
    <phoneticPr fontId="4" type="noConversion"/>
  </si>
  <si>
    <t>노규철</t>
    <phoneticPr fontId="4" type="noConversion"/>
  </si>
  <si>
    <t>키공고-부시시</t>
    <phoneticPr fontId="4" type="noConversion"/>
  </si>
  <si>
    <t>캄보디아 RNIP2</t>
    <phoneticPr fontId="4" type="noConversion"/>
  </si>
  <si>
    <t>파키스탄 CV</t>
    <phoneticPr fontId="4" type="noConversion"/>
  </si>
  <si>
    <t>KTFT 제출</t>
    <phoneticPr fontId="4" type="noConversion"/>
  </si>
  <si>
    <r>
      <t>T</t>
    </r>
    <r>
      <rPr>
        <sz val="11"/>
        <rFont val="맑은 고딕"/>
        <family val="3"/>
        <charset val="129"/>
        <scheme val="minor"/>
      </rPr>
      <t>EMBURONG BRIDGE PROJECT PACKAGE CC3 NAVIGATION BRIDGE(DEALIM)</t>
    </r>
    <phoneticPr fontId="3" type="noConversion"/>
  </si>
  <si>
    <t>인도 MCGM 제출</t>
    <phoneticPr fontId="4" type="noConversion"/>
  </si>
  <si>
    <t>팡일만 제출</t>
    <phoneticPr fontId="4" type="noConversion"/>
  </si>
  <si>
    <t>KTFT 제출</t>
    <phoneticPr fontId="4" type="noConversion"/>
  </si>
  <si>
    <t>네팔 지방도 제출</t>
    <phoneticPr fontId="4" type="noConversion"/>
  </si>
  <si>
    <t>지방도 개선감리사업</t>
    <phoneticPr fontId="4" type="noConversion"/>
  </si>
  <si>
    <t>Seon-Yu Pedestrian bridge project (Don yang Engineering &amp; Construction Co. Ltd.)</t>
  </si>
  <si>
    <t>Neukdo Bridge Project (HANJIN Heavy I&amp;C.)</t>
  </si>
  <si>
    <t>Detailed Design and Construction Supervision forVinh Thinh Bridge Construction Project</t>
  </si>
  <si>
    <t>Detailed Design for the Samcheonpo Bridge Construction Project or Project:</t>
    <phoneticPr fontId="3" type="noConversion"/>
  </si>
  <si>
    <r>
      <t>Construction Supervision for Rehabilitation of Access Road and Parking Lot of the 2</t>
    </r>
    <r>
      <rPr>
        <vertAlign val="superscript"/>
        <sz val="11"/>
        <color rgb="FF000000"/>
        <rFont val="맑은 고딕"/>
        <family val="3"/>
        <charset val="129"/>
        <scheme val="minor"/>
      </rPr>
      <t>nd</t>
    </r>
    <r>
      <rPr>
        <sz val="11"/>
        <color rgb="FF000000"/>
        <rFont val="맑은 고딕"/>
        <family val="3"/>
        <charset val="129"/>
        <scheme val="minor"/>
      </rPr>
      <t xml:space="preserve"> Passenger Terminal in Incheon International Airport</t>
    </r>
    <phoneticPr fontId="4" type="noConversion"/>
  </si>
  <si>
    <r>
      <t xml:space="preserve">Civil </t>
    </r>
    <r>
      <rPr>
        <sz val="11"/>
        <rFont val="맑은 고딕"/>
        <family val="3"/>
        <charset val="129"/>
        <scheme val="minor"/>
      </rPr>
      <t>Construction / Project director</t>
    </r>
    <r>
      <rPr>
        <sz val="11"/>
        <color rgb="FF000000"/>
        <rFont val="맑은 고딕"/>
        <family val="3"/>
        <charset val="129"/>
        <scheme val="minor"/>
      </rPr>
      <t xml:space="preserve"> </t>
    </r>
  </si>
  <si>
    <r>
      <rPr>
        <sz val="11"/>
        <color theme="1"/>
        <rFont val="맑은 고딕"/>
        <family val="3"/>
        <charset val="129"/>
      </rPr>
      <t>강태우</t>
    </r>
    <phoneticPr fontId="3" type="noConversion"/>
  </si>
  <si>
    <t>Sri Lanka</t>
    <phoneticPr fontId="4" type="noConversion"/>
  </si>
  <si>
    <t xml:space="preserve">Consultancy Services for Design and Construction Management for Flushing Gates </t>
    <phoneticPr fontId="4" type="noConversion"/>
  </si>
  <si>
    <t>WB</t>
    <phoneticPr fontId="4" type="noConversion"/>
  </si>
  <si>
    <t>Team Leader</t>
    <phoneticPr fontId="3" type="noConversion"/>
  </si>
  <si>
    <t>자동차검사기사, 건설기계기사</t>
    <phoneticPr fontId="3" type="noConversion"/>
  </si>
  <si>
    <t>Basic and detailed design service for Incheon International Airport Logistics Complex (Phase 3) Infrastructure Construction</t>
    <phoneticPr fontId="4" type="noConversion"/>
  </si>
  <si>
    <t>Mechanical Engineer</t>
    <phoneticPr fontId="3" type="noConversion"/>
  </si>
  <si>
    <t>Republic of Mali</t>
    <phoneticPr fontId="4" type="noConversion"/>
  </si>
  <si>
    <t>Consulting Service for Supervision of the Djenne Dam Construction Works Lot-2: Installation of Hydro-Mechanical Equipment (Funded by EDCF)</t>
    <phoneticPr fontId="4" type="noConversion"/>
  </si>
  <si>
    <t xml:space="preserve">Mongolia </t>
    <phoneticPr fontId="4" type="noConversion"/>
  </si>
  <si>
    <t xml:space="preserve">Feasibility Study of Erdeneburen Hydropower Plant, Mongolia </t>
    <phoneticPr fontId="4" type="noConversion"/>
  </si>
  <si>
    <t>Plant</t>
    <phoneticPr fontId="4" type="noConversion"/>
  </si>
  <si>
    <t>FS</t>
    <phoneticPr fontId="4" type="noConversion"/>
  </si>
  <si>
    <t>Sr. Mechanical Engineer</t>
    <phoneticPr fontId="3" type="noConversion"/>
  </si>
  <si>
    <t>Indonesia</t>
    <phoneticPr fontId="4" type="noConversion"/>
  </si>
  <si>
    <t>The Feasibility Study of the Indonesia Bonto Batu Hydro Power Plant</t>
    <phoneticPr fontId="4" type="noConversion"/>
  </si>
  <si>
    <t>Basic and detailed design service for Jeju International Airport Airside Infrastructure Expansion</t>
    <phoneticPr fontId="4" type="noConversion"/>
  </si>
  <si>
    <t xml:space="preserve">Airport </t>
    <phoneticPr fontId="4" type="noConversion"/>
  </si>
  <si>
    <t>Laos</t>
    <phoneticPr fontId="4" type="noConversion"/>
  </si>
  <si>
    <t>Detailed Design and Site Engineering for Xe Pian-Xe Namnoy Hydro-electric Power Project Task 2, Laos (EPC Project with Turn-Key Contracted)</t>
    <phoneticPr fontId="4" type="noConversion"/>
  </si>
  <si>
    <t>Detailed Design and Site Engineering for Xe Pian-Xenamnoy Hydro Electric Power Plant</t>
    <phoneticPr fontId="4" type="noConversion"/>
  </si>
  <si>
    <t>Mechanical engineer</t>
    <phoneticPr fontId="3" type="noConversion"/>
  </si>
  <si>
    <t>Basic design service for Incheon International Airport Phase 3 airport facility</t>
    <phoneticPr fontId="4" type="noConversion"/>
  </si>
  <si>
    <t>Basic and Detailed Design for Damyang Flood Control Reservoir</t>
    <phoneticPr fontId="4" type="noConversion"/>
  </si>
  <si>
    <t>Detailed Design for Gyeongin Ara Waterway Construction Project (Lot No.2)</t>
    <phoneticPr fontId="4" type="noConversion"/>
  </si>
  <si>
    <t>Basic Design for Gyeongin Ara Waterway Construction Project (Lot No.2)</t>
    <phoneticPr fontId="4" type="noConversion"/>
  </si>
  <si>
    <r>
      <t>1</t>
    </r>
    <r>
      <rPr>
        <vertAlign val="superscript"/>
        <sz val="11"/>
        <color theme="1"/>
        <rFont val="Arial"/>
        <family val="2"/>
      </rPr>
      <t>st</t>
    </r>
    <r>
      <rPr>
        <sz val="11"/>
        <color theme="1"/>
        <rFont val="Arial"/>
        <family val="2"/>
      </rPr>
      <t xml:space="preserve"> Improvement project for Conveyance Structures of Water supply of Metropolitan cities</t>
    </r>
    <phoneticPr fontId="4" type="noConversion"/>
  </si>
  <si>
    <t>Basic and Detailed Design for Total Airport Facilities of Incheon International Airport(2nd Phase)</t>
    <phoneticPr fontId="4" type="noConversion"/>
  </si>
  <si>
    <t>Management of Intra Airport Transit(IAT) System($40M) in terms of Project Planning, Bidding, Reviewing, and Approval of Engineering, Construction and Manufacturing outputs</t>
    <phoneticPr fontId="4" type="noConversion"/>
  </si>
  <si>
    <t>Construction Supervision for the Incheon International Airport (1st Phase)</t>
    <phoneticPr fontId="4" type="noConversion"/>
  </si>
  <si>
    <t>Yongdam multipurpose Dam and Waterway Construction Project</t>
    <phoneticPr fontId="4" type="noConversion"/>
  </si>
  <si>
    <t>Namgang multipurpose Dam Reinforcement Project (Main Dam, Spillway, Power Plant, Ancillary Work and Reregulating Gate Construction)</t>
    <phoneticPr fontId="4" type="noConversion"/>
  </si>
  <si>
    <t>Project Director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</si>
</sst>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General\ &quot;Years&quot;"/>
    <numFmt numFmtId="177" formatCode="mmm\.\ yyyy"/>
    <numFmt numFmtId="178" formatCode="General\ &quot;months&quot;"/>
    <numFmt numFmtId="179" formatCode="mmm/yyyy"/>
  </numFmts>
  <fonts count="18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Arial"/>
      <family val="2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1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vertAlign val="superscript"/>
      <sz val="11"/>
      <color theme="1"/>
      <name val="Arial"/>
      <family val="2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돋움"/>
      <family val="3"/>
      <charset val="129"/>
    </font>
    <font>
      <vertAlign val="superscript"/>
      <sz val="11"/>
      <color rgb="FF000000"/>
      <name val="맑은 고딕"/>
      <family val="3"/>
      <charset val="129"/>
      <scheme val="minor"/>
    </font>
    <font>
      <vertAlign val="superscript"/>
      <sz val="11"/>
      <color theme="1"/>
      <name val="맑은 고딕"/>
      <family val="3"/>
      <charset val="129"/>
      <scheme val="minor"/>
    </font>
    <font>
      <sz val="11"/>
      <color rgb="FF2F4C25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FEFEB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4" fontId="5" fillId="0" borderId="1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 wrapText="1"/>
    </xf>
    <xf numFmtId="41" fontId="5" fillId="0" borderId="1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177" fontId="7" fillId="0" borderId="1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14" fontId="5" fillId="0" borderId="4" xfId="0" applyNumberFormat="1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14" fontId="6" fillId="0" borderId="4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 wrapText="1"/>
    </xf>
    <xf numFmtId="41" fontId="5" fillId="0" borderId="4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76" fontId="0" fillId="0" borderId="1" xfId="0" applyNumberForma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1" fillId="0" borderId="1" xfId="0" applyFont="1" applyBorder="1" applyAlignment="1">
      <alignment horizontal="left" vertical="center" wrapText="1"/>
    </xf>
    <xf numFmtId="0" fontId="10" fillId="0" borderId="1" xfId="0" applyFont="1" applyFill="1" applyBorder="1" applyAlignment="1">
      <alignment horizontal="left" vertical="top" wrapText="1"/>
    </xf>
    <xf numFmtId="0" fontId="11" fillId="0" borderId="1" xfId="0" applyFont="1" applyFill="1" applyBorder="1" applyAlignment="1">
      <alignment horizontal="left" vertical="top" wrapText="1"/>
    </xf>
    <xf numFmtId="176" fontId="1" fillId="2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177" fontId="11" fillId="0" borderId="1" xfId="0" applyNumberFormat="1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14" fontId="10" fillId="0" borderId="1" xfId="0" applyNumberFormat="1" applyFont="1" applyFill="1" applyBorder="1" applyAlignment="1">
      <alignment horizontal="left" vertical="center" wrapText="1"/>
    </xf>
    <xf numFmtId="14" fontId="11" fillId="0" borderId="1" xfId="0" applyNumberFormat="1" applyFont="1" applyBorder="1" applyAlignment="1">
      <alignment horizontal="left" vertical="center" wrapText="1"/>
    </xf>
    <xf numFmtId="176" fontId="11" fillId="0" borderId="1" xfId="0" applyNumberFormat="1" applyFont="1" applyBorder="1" applyAlignment="1">
      <alignment horizontal="left" vertical="center" wrapText="1"/>
    </xf>
    <xf numFmtId="0" fontId="10" fillId="0" borderId="1" xfId="0" applyFont="1" applyFill="1" applyBorder="1" applyAlignment="1">
      <alignment horizontal="left" vertical="center" wrapText="1"/>
    </xf>
    <xf numFmtId="177" fontId="9" fillId="0" borderId="1" xfId="0" applyNumberFormat="1" applyFont="1" applyFill="1" applyBorder="1" applyAlignment="1">
      <alignment horizontal="left" vertical="center" wrapText="1"/>
    </xf>
    <xf numFmtId="178" fontId="10" fillId="0" borderId="1" xfId="0" applyNumberFormat="1" applyFont="1" applyFill="1" applyBorder="1" applyAlignment="1">
      <alignment horizontal="left" vertical="center" wrapText="1"/>
    </xf>
    <xf numFmtId="41" fontId="10" fillId="0" borderId="1" xfId="0" applyNumberFormat="1" applyFont="1" applyFill="1" applyBorder="1" applyAlignment="1">
      <alignment horizontal="left" vertical="center" wrapText="1"/>
    </xf>
    <xf numFmtId="177" fontId="11" fillId="0" borderId="1" xfId="0" applyNumberFormat="1" applyFont="1" applyFill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176" fontId="11" fillId="3" borderId="1" xfId="0" applyNumberFormat="1" applyFont="1" applyFill="1" applyBorder="1" applyAlignment="1">
      <alignment horizontal="left" vertical="center" wrapText="1"/>
    </xf>
    <xf numFmtId="3" fontId="9" fillId="0" borderId="1" xfId="0" applyNumberFormat="1" applyFont="1" applyFill="1" applyBorder="1" applyAlignment="1">
      <alignment horizontal="left" vertical="top" wrapText="1" shrinkToFit="1"/>
    </xf>
    <xf numFmtId="179" fontId="11" fillId="0" borderId="1" xfId="0" applyNumberFormat="1" applyFont="1" applyBorder="1" applyAlignment="1">
      <alignment horizontal="left" vertical="center" wrapText="1"/>
    </xf>
    <xf numFmtId="179" fontId="9" fillId="0" borderId="1" xfId="0" applyNumberFormat="1" applyFont="1" applyBorder="1" applyAlignment="1">
      <alignment horizontal="left" vertical="center" wrapText="1"/>
    </xf>
    <xf numFmtId="177" fontId="9" fillId="0" borderId="1" xfId="0" applyNumberFormat="1" applyFont="1" applyBorder="1" applyAlignment="1">
      <alignment horizontal="left" vertical="center" wrapText="1"/>
    </xf>
    <xf numFmtId="0" fontId="11" fillId="4" borderId="1" xfId="0" applyFont="1" applyFill="1" applyBorder="1" applyAlignment="1">
      <alignment horizontal="left" vertical="center" wrapText="1"/>
    </xf>
    <xf numFmtId="14" fontId="10" fillId="4" borderId="1" xfId="0" applyNumberFormat="1" applyFont="1" applyFill="1" applyBorder="1" applyAlignment="1">
      <alignment horizontal="left" vertical="center" wrapText="1"/>
    </xf>
    <xf numFmtId="14" fontId="11" fillId="4" borderId="1" xfId="0" applyNumberFormat="1" applyFont="1" applyFill="1" applyBorder="1" applyAlignment="1">
      <alignment horizontal="left" vertical="center" wrapText="1"/>
    </xf>
    <xf numFmtId="176" fontId="11" fillId="4" borderId="1" xfId="0" applyNumberFormat="1" applyFont="1" applyFill="1" applyBorder="1" applyAlignment="1">
      <alignment horizontal="left" vertical="center" wrapText="1"/>
    </xf>
    <xf numFmtId="0" fontId="10" fillId="4" borderId="1" xfId="0" applyFont="1" applyFill="1" applyBorder="1" applyAlignment="1">
      <alignment horizontal="left" vertical="center" wrapText="1"/>
    </xf>
    <xf numFmtId="177" fontId="9" fillId="4" borderId="1" xfId="0" applyNumberFormat="1" applyFont="1" applyFill="1" applyBorder="1" applyAlignment="1">
      <alignment horizontal="left" vertical="center" wrapText="1"/>
    </xf>
    <xf numFmtId="41" fontId="10" fillId="4" borderId="1" xfId="0" applyNumberFormat="1" applyFont="1" applyFill="1" applyBorder="1" applyAlignment="1">
      <alignment horizontal="left" vertical="center" wrapText="1"/>
    </xf>
    <xf numFmtId="176" fontId="11" fillId="0" borderId="1" xfId="0" applyNumberFormat="1" applyFont="1" applyFill="1" applyBorder="1" applyAlignment="1">
      <alignment horizontal="left" vertical="center" wrapText="1"/>
    </xf>
    <xf numFmtId="14" fontId="11" fillId="0" borderId="1" xfId="0" applyNumberFormat="1" applyFont="1" applyFill="1" applyBorder="1" applyAlignment="1">
      <alignment horizontal="left" vertical="center" wrapText="1"/>
    </xf>
    <xf numFmtId="17" fontId="9" fillId="0" borderId="1" xfId="0" applyNumberFormat="1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14" fontId="9" fillId="0" borderId="1" xfId="0" applyNumberFormat="1" applyFont="1" applyBorder="1" applyAlignment="1">
      <alignment horizontal="left" vertical="center" wrapText="1"/>
    </xf>
    <xf numFmtId="0" fontId="10" fillId="5" borderId="1" xfId="0" applyFont="1" applyFill="1" applyBorder="1" applyAlignment="1">
      <alignment horizontal="left" vertical="top" wrapText="1"/>
    </xf>
    <xf numFmtId="0" fontId="9" fillId="0" borderId="2" xfId="0" applyFont="1" applyBorder="1" applyAlignment="1">
      <alignment horizontal="left" vertical="center" wrapText="1"/>
    </xf>
    <xf numFmtId="41" fontId="10" fillId="0" borderId="5" xfId="0" applyNumberFormat="1" applyFont="1" applyFill="1" applyBorder="1" applyAlignment="1">
      <alignment horizontal="left" vertical="center" wrapText="1"/>
    </xf>
  </cellXfs>
  <cellStyles count="1">
    <cellStyle name="표준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K2025"/>
  <sheetViews>
    <sheetView tabSelected="1" topLeftCell="J1" zoomScale="55" zoomScaleNormal="55" workbookViewId="0">
      <selection activeCell="Q46" sqref="Q46"/>
    </sheetView>
  </sheetViews>
  <sheetFormatPr defaultRowHeight="16.5" x14ac:dyDescent="0.3"/>
  <cols>
    <col min="3" max="3" width="12.625" customWidth="1"/>
    <col min="5" max="5" width="12.375" customWidth="1"/>
    <col min="6" max="6" width="7.625" customWidth="1"/>
    <col min="7" max="7" width="13.75" customWidth="1"/>
    <col min="8" max="8" width="24.125" bestFit="1" customWidth="1"/>
    <col min="9" max="9" width="7.25" customWidth="1"/>
    <col min="10" max="10" width="14.5" bestFit="1" customWidth="1"/>
    <col min="11" max="11" width="24.25" bestFit="1" customWidth="1"/>
    <col min="12" max="12" width="10.625" customWidth="1"/>
    <col min="13" max="13" width="83" customWidth="1"/>
    <col min="17" max="17" width="25.5" customWidth="1"/>
    <col min="18" max="19" width="13.625" bestFit="1" customWidth="1"/>
    <col min="20" max="20" width="14.625" bestFit="1" customWidth="1"/>
    <col min="21" max="22" width="9.25" bestFit="1" customWidth="1"/>
    <col min="23" max="23" width="46.5" customWidth="1"/>
    <col min="24" max="24" width="9.25" bestFit="1" customWidth="1"/>
    <col min="25" max="25" width="12.375" bestFit="1" customWidth="1"/>
    <col min="26" max="26" width="14.375" customWidth="1"/>
    <col min="29" max="29" width="12.75" customWidth="1"/>
    <col min="30" max="30" width="12.5" customWidth="1"/>
    <col min="31" max="31" width="19.375" bestFit="1" customWidth="1"/>
    <col min="32" max="32" width="22.5" bestFit="1" customWidth="1"/>
    <col min="33" max="33" width="21.25" bestFit="1" customWidth="1"/>
    <col min="34" max="34" width="22.125" bestFit="1" customWidth="1"/>
    <col min="35" max="35" width="20.25" bestFit="1" customWidth="1"/>
    <col min="36" max="36" width="15.25" bestFit="1" customWidth="1"/>
    <col min="37" max="37" width="19.375" bestFit="1" customWidth="1"/>
  </cols>
  <sheetData>
    <row r="2" spans="1:37" ht="41.25" customHeight="1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2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  <c r="R2" s="1" t="s">
        <v>16</v>
      </c>
      <c r="S2" s="1" t="s">
        <v>17</v>
      </c>
      <c r="T2" s="1" t="s">
        <v>18</v>
      </c>
      <c r="U2" s="1" t="s">
        <v>19</v>
      </c>
      <c r="V2" s="1" t="s">
        <v>20</v>
      </c>
      <c r="W2" s="1" t="s">
        <v>21</v>
      </c>
      <c r="X2" s="1" t="s">
        <v>22</v>
      </c>
      <c r="Y2" s="1" t="s">
        <v>23</v>
      </c>
      <c r="Z2" s="1" t="s">
        <v>798</v>
      </c>
      <c r="AA2" s="1" t="s">
        <v>799</v>
      </c>
      <c r="AB2" s="1" t="s">
        <v>800</v>
      </c>
      <c r="AC2" s="1" t="s">
        <v>801</v>
      </c>
      <c r="AD2" s="1" t="s">
        <v>802</v>
      </c>
      <c r="AE2" s="1" t="s">
        <v>803</v>
      </c>
      <c r="AF2" s="1" t="s">
        <v>804</v>
      </c>
      <c r="AG2" s="1" t="s">
        <v>805</v>
      </c>
      <c r="AH2" s="1" t="s">
        <v>806</v>
      </c>
      <c r="AI2" s="1" t="s">
        <v>807</v>
      </c>
      <c r="AJ2" s="26" t="s">
        <v>808</v>
      </c>
      <c r="AK2" s="1" t="s">
        <v>809</v>
      </c>
    </row>
    <row r="3" spans="1:37" ht="41.25" customHeight="1" x14ac:dyDescent="0.3">
      <c r="A3">
        <v>1</v>
      </c>
      <c r="B3" s="23" t="s">
        <v>74</v>
      </c>
      <c r="C3" s="34">
        <v>19537</v>
      </c>
      <c r="D3" s="23" t="s">
        <v>811</v>
      </c>
      <c r="E3" s="23" t="s">
        <v>812</v>
      </c>
      <c r="F3" s="23" t="s">
        <v>120</v>
      </c>
      <c r="G3" s="35">
        <v>34425</v>
      </c>
      <c r="H3" s="36">
        <v>28.75</v>
      </c>
      <c r="I3" s="36" t="s">
        <v>27</v>
      </c>
      <c r="J3" s="35">
        <v>44897</v>
      </c>
      <c r="K3" s="35" t="s">
        <v>813</v>
      </c>
      <c r="L3" s="37" t="s">
        <v>81</v>
      </c>
      <c r="M3" s="28" t="s">
        <v>388</v>
      </c>
      <c r="N3" s="37" t="s">
        <v>55</v>
      </c>
      <c r="O3" s="28" t="s">
        <v>85</v>
      </c>
      <c r="P3" s="37" t="s">
        <v>57</v>
      </c>
      <c r="Q3" s="28" t="s">
        <v>78</v>
      </c>
      <c r="R3" s="38">
        <v>44440</v>
      </c>
      <c r="S3" s="38">
        <v>44866</v>
      </c>
      <c r="T3" s="39">
        <v>15</v>
      </c>
      <c r="U3" s="40">
        <v>0</v>
      </c>
      <c r="V3" s="40">
        <v>1</v>
      </c>
      <c r="W3" s="23" t="s">
        <v>79</v>
      </c>
      <c r="X3" s="23">
        <v>8</v>
      </c>
      <c r="Y3" s="23">
        <v>8</v>
      </c>
      <c r="Z3" s="23"/>
      <c r="AA3" s="23" t="s">
        <v>85</v>
      </c>
      <c r="AB3" s="23" t="s">
        <v>58</v>
      </c>
      <c r="AC3" s="36">
        <v>37.33</v>
      </c>
      <c r="AD3" s="36">
        <v>19.75</v>
      </c>
      <c r="AE3" s="23">
        <v>16</v>
      </c>
      <c r="AF3" s="23">
        <v>28</v>
      </c>
      <c r="AG3" s="23">
        <v>1</v>
      </c>
      <c r="AH3" s="23">
        <v>36.5</v>
      </c>
      <c r="AI3" s="23">
        <v>0.83</v>
      </c>
      <c r="AJ3" s="36">
        <v>7.92</v>
      </c>
      <c r="AK3" s="23">
        <v>8</v>
      </c>
    </row>
    <row r="4" spans="1:37" hidden="1" x14ac:dyDescent="0.3">
      <c r="B4" s="23" t="s">
        <v>74</v>
      </c>
      <c r="C4" s="34"/>
      <c r="D4" s="23"/>
      <c r="E4" s="23"/>
      <c r="F4" s="23"/>
      <c r="G4" s="35"/>
      <c r="H4" s="36"/>
      <c r="I4" s="36"/>
      <c r="J4" s="35"/>
      <c r="K4" s="35"/>
      <c r="L4" s="37" t="s">
        <v>81</v>
      </c>
      <c r="M4" s="28" t="s">
        <v>82</v>
      </c>
      <c r="N4" s="37"/>
      <c r="O4" s="28" t="s">
        <v>58</v>
      </c>
      <c r="P4" s="37" t="s">
        <v>83</v>
      </c>
      <c r="Q4" s="28" t="s">
        <v>78</v>
      </c>
      <c r="R4" s="38">
        <v>44105</v>
      </c>
      <c r="S4" s="38">
        <v>44378</v>
      </c>
      <c r="T4" s="39">
        <v>10</v>
      </c>
      <c r="U4" s="40">
        <v>0</v>
      </c>
      <c r="V4" s="40">
        <v>0</v>
      </c>
      <c r="W4" s="40"/>
      <c r="X4" s="23"/>
      <c r="Y4" s="23"/>
      <c r="Z4" s="23"/>
      <c r="AA4" s="23"/>
      <c r="AB4" s="23"/>
      <c r="AC4" s="36"/>
      <c r="AD4" s="36"/>
      <c r="AE4" s="23"/>
      <c r="AF4" s="23"/>
      <c r="AG4" s="23"/>
      <c r="AH4" s="23"/>
      <c r="AI4" s="23"/>
      <c r="AJ4" s="23"/>
      <c r="AK4" s="23"/>
    </row>
    <row r="5" spans="1:37" hidden="1" x14ac:dyDescent="0.3">
      <c r="B5" s="23" t="s">
        <v>74</v>
      </c>
      <c r="C5" s="34"/>
      <c r="D5" s="23"/>
      <c r="E5" s="23"/>
      <c r="F5" s="23"/>
      <c r="G5" s="35"/>
      <c r="H5" s="36"/>
      <c r="I5" s="36"/>
      <c r="J5" s="35"/>
      <c r="K5" s="35"/>
      <c r="L5" s="37" t="s">
        <v>62</v>
      </c>
      <c r="M5" s="28" t="s">
        <v>84</v>
      </c>
      <c r="N5" s="37"/>
      <c r="O5" s="28" t="s">
        <v>85</v>
      </c>
      <c r="P5" s="37" t="s">
        <v>86</v>
      </c>
      <c r="Q5" s="28" t="s">
        <v>78</v>
      </c>
      <c r="R5" s="38">
        <v>43862</v>
      </c>
      <c r="S5" s="38">
        <v>44075</v>
      </c>
      <c r="T5" s="39">
        <v>8</v>
      </c>
      <c r="U5" s="40">
        <v>0</v>
      </c>
      <c r="V5" s="40">
        <v>0</v>
      </c>
      <c r="W5" s="40"/>
      <c r="X5" s="23"/>
      <c r="Y5" s="23"/>
      <c r="Z5" s="23"/>
      <c r="AA5" s="23"/>
      <c r="AB5" s="23"/>
      <c r="AC5" s="36"/>
      <c r="AD5" s="36"/>
      <c r="AE5" s="23"/>
      <c r="AF5" s="23"/>
      <c r="AG5" s="23"/>
      <c r="AH5" s="23"/>
      <c r="AI5" s="23"/>
      <c r="AJ5" s="23"/>
      <c r="AK5" s="23"/>
    </row>
    <row r="6" spans="1:37" ht="33" hidden="1" x14ac:dyDescent="0.3">
      <c r="B6" s="23" t="s">
        <v>80</v>
      </c>
      <c r="C6" s="34"/>
      <c r="D6" s="23"/>
      <c r="E6" s="23"/>
      <c r="F6" s="23"/>
      <c r="G6" s="35"/>
      <c r="H6" s="36"/>
      <c r="I6" s="36"/>
      <c r="J6" s="35"/>
      <c r="K6" s="35"/>
      <c r="L6" s="37" t="s">
        <v>88</v>
      </c>
      <c r="M6" s="28" t="s">
        <v>87</v>
      </c>
      <c r="N6" s="37"/>
      <c r="O6" s="28" t="s">
        <v>85</v>
      </c>
      <c r="P6" s="37" t="s">
        <v>57</v>
      </c>
      <c r="Q6" s="28" t="s">
        <v>78</v>
      </c>
      <c r="R6" s="38">
        <v>43252</v>
      </c>
      <c r="S6" s="38">
        <v>43831</v>
      </c>
      <c r="T6" s="39">
        <v>20</v>
      </c>
      <c r="U6" s="40">
        <v>0</v>
      </c>
      <c r="V6" s="40">
        <v>14</v>
      </c>
      <c r="W6" s="40"/>
      <c r="X6" s="23"/>
      <c r="Y6" s="23"/>
      <c r="Z6" s="23"/>
      <c r="AA6" s="23"/>
      <c r="AB6" s="23"/>
      <c r="AC6" s="36"/>
      <c r="AD6" s="36"/>
      <c r="AE6" s="23"/>
      <c r="AF6" s="23"/>
      <c r="AG6" s="23"/>
      <c r="AH6" s="23"/>
      <c r="AI6" s="23"/>
      <c r="AJ6" s="23"/>
      <c r="AK6" s="23"/>
    </row>
    <row r="7" spans="1:37" ht="33" hidden="1" x14ac:dyDescent="0.3">
      <c r="B7" s="23" t="s">
        <v>74</v>
      </c>
      <c r="C7" s="34"/>
      <c r="D7" s="23"/>
      <c r="E7" s="23"/>
      <c r="F7" s="23"/>
      <c r="G7" s="35"/>
      <c r="H7" s="36"/>
      <c r="I7" s="36"/>
      <c r="J7" s="35"/>
      <c r="K7" s="35"/>
      <c r="L7" s="37" t="s">
        <v>81</v>
      </c>
      <c r="M7" s="28" t="s">
        <v>87</v>
      </c>
      <c r="N7" s="37"/>
      <c r="O7" s="28" t="s">
        <v>85</v>
      </c>
      <c r="P7" s="37" t="s">
        <v>57</v>
      </c>
      <c r="Q7" s="28" t="s">
        <v>78</v>
      </c>
      <c r="R7" s="38">
        <v>42705</v>
      </c>
      <c r="S7" s="38">
        <v>42795</v>
      </c>
      <c r="T7" s="39">
        <v>4</v>
      </c>
      <c r="U7" s="40">
        <v>0</v>
      </c>
      <c r="V7" s="40">
        <v>21</v>
      </c>
      <c r="W7" s="40"/>
      <c r="X7" s="23"/>
      <c r="Y7" s="23"/>
      <c r="Z7" s="23"/>
      <c r="AA7" s="23"/>
      <c r="AB7" s="23"/>
      <c r="AC7" s="36"/>
      <c r="AD7" s="36"/>
      <c r="AE7" s="23"/>
      <c r="AF7" s="23"/>
      <c r="AG7" s="23"/>
      <c r="AH7" s="23"/>
      <c r="AI7" s="23"/>
      <c r="AJ7" s="23"/>
      <c r="AK7" s="23"/>
    </row>
    <row r="8" spans="1:37" ht="33" hidden="1" x14ac:dyDescent="0.3">
      <c r="B8" s="23" t="s">
        <v>74</v>
      </c>
      <c r="C8" s="34"/>
      <c r="D8" s="23"/>
      <c r="E8" s="23"/>
      <c r="F8" s="23"/>
      <c r="G8" s="35"/>
      <c r="H8" s="36"/>
      <c r="I8" s="36"/>
      <c r="J8" s="35"/>
      <c r="K8" s="35"/>
      <c r="L8" s="37" t="s">
        <v>62</v>
      </c>
      <c r="M8" s="28" t="s">
        <v>866</v>
      </c>
      <c r="N8" s="37"/>
      <c r="O8" s="28" t="s">
        <v>85</v>
      </c>
      <c r="P8" s="37" t="s">
        <v>57</v>
      </c>
      <c r="Q8" s="28" t="s">
        <v>78</v>
      </c>
      <c r="R8" s="38">
        <v>41760</v>
      </c>
      <c r="S8" s="38">
        <v>42036</v>
      </c>
      <c r="T8" s="39">
        <v>10</v>
      </c>
      <c r="U8" s="40">
        <v>0</v>
      </c>
      <c r="V8" s="40">
        <v>0</v>
      </c>
      <c r="W8" s="40"/>
      <c r="X8" s="23"/>
      <c r="Y8" s="23"/>
      <c r="Z8" s="23"/>
      <c r="AA8" s="23"/>
      <c r="AB8" s="23"/>
      <c r="AC8" s="36"/>
      <c r="AD8" s="36"/>
      <c r="AE8" s="23"/>
      <c r="AF8" s="23"/>
      <c r="AG8" s="23"/>
      <c r="AH8" s="23"/>
      <c r="AI8" s="23"/>
      <c r="AJ8" s="23"/>
      <c r="AK8" s="23"/>
    </row>
    <row r="9" spans="1:37" hidden="1" x14ac:dyDescent="0.3">
      <c r="B9" s="23" t="s">
        <v>80</v>
      </c>
      <c r="C9" s="34"/>
      <c r="D9" s="23"/>
      <c r="E9" s="23"/>
      <c r="F9" s="23"/>
      <c r="G9" s="35"/>
      <c r="H9" s="36"/>
      <c r="I9" s="36"/>
      <c r="J9" s="35"/>
      <c r="K9" s="35"/>
      <c r="L9" s="37" t="s">
        <v>94</v>
      </c>
      <c r="M9" s="28" t="s">
        <v>389</v>
      </c>
      <c r="N9" s="37"/>
      <c r="O9" s="28" t="s">
        <v>85</v>
      </c>
      <c r="P9" s="37" t="s">
        <v>57</v>
      </c>
      <c r="Q9" s="28" t="s">
        <v>78</v>
      </c>
      <c r="R9" s="38">
        <v>41518</v>
      </c>
      <c r="S9" s="38">
        <v>41730</v>
      </c>
      <c r="T9" s="39">
        <v>8</v>
      </c>
      <c r="U9" s="40">
        <v>0</v>
      </c>
      <c r="V9" s="40">
        <v>0</v>
      </c>
      <c r="W9" s="40"/>
      <c r="X9" s="23"/>
      <c r="Y9" s="23"/>
      <c r="Z9" s="23"/>
      <c r="AA9" s="23"/>
      <c r="AB9" s="23"/>
      <c r="AC9" s="36"/>
      <c r="AD9" s="36"/>
      <c r="AE9" s="23"/>
      <c r="AF9" s="23"/>
      <c r="AG9" s="23"/>
      <c r="AH9" s="23"/>
      <c r="AI9" s="23"/>
      <c r="AJ9" s="23"/>
      <c r="AK9" s="23"/>
    </row>
    <row r="10" spans="1:37" ht="33" hidden="1" x14ac:dyDescent="0.3">
      <c r="B10" s="23" t="s">
        <v>74</v>
      </c>
      <c r="C10" s="34"/>
      <c r="D10" s="23"/>
      <c r="E10" s="23"/>
      <c r="F10" s="23"/>
      <c r="G10" s="35"/>
      <c r="H10" s="36"/>
      <c r="I10" s="36"/>
      <c r="J10" s="35"/>
      <c r="K10" s="35"/>
      <c r="L10" s="37" t="s">
        <v>59</v>
      </c>
      <c r="M10" s="28" t="s">
        <v>390</v>
      </c>
      <c r="N10" s="37"/>
      <c r="O10" s="28" t="s">
        <v>85</v>
      </c>
      <c r="P10" s="37" t="s">
        <v>77</v>
      </c>
      <c r="Q10" s="28" t="s">
        <v>89</v>
      </c>
      <c r="R10" s="38">
        <v>41426</v>
      </c>
      <c r="S10" s="38">
        <v>41487</v>
      </c>
      <c r="T10" s="39">
        <v>3</v>
      </c>
      <c r="U10" s="40">
        <v>0</v>
      </c>
      <c r="V10" s="40">
        <v>0</v>
      </c>
      <c r="W10" s="40"/>
      <c r="X10" s="23"/>
      <c r="Y10" s="23"/>
      <c r="Z10" s="23"/>
      <c r="AA10" s="23"/>
      <c r="AB10" s="23"/>
      <c r="AC10" s="36"/>
      <c r="AD10" s="36"/>
      <c r="AE10" s="23"/>
      <c r="AF10" s="23"/>
      <c r="AG10" s="23"/>
      <c r="AH10" s="23"/>
      <c r="AI10" s="23"/>
      <c r="AJ10" s="23"/>
      <c r="AK10" s="23"/>
    </row>
    <row r="11" spans="1:37" ht="33" hidden="1" x14ac:dyDescent="0.3">
      <c r="B11" s="23" t="s">
        <v>74</v>
      </c>
      <c r="C11" s="34"/>
      <c r="D11" s="23"/>
      <c r="E11" s="23"/>
      <c r="F11" s="23"/>
      <c r="G11" s="35"/>
      <c r="H11" s="36"/>
      <c r="I11" s="36"/>
      <c r="J11" s="35"/>
      <c r="K11" s="35"/>
      <c r="L11" s="37" t="s">
        <v>125</v>
      </c>
      <c r="M11" s="28" t="s">
        <v>391</v>
      </c>
      <c r="N11" s="37"/>
      <c r="O11" s="28" t="s">
        <v>76</v>
      </c>
      <c r="P11" s="37" t="s">
        <v>57</v>
      </c>
      <c r="Q11" s="28" t="s">
        <v>392</v>
      </c>
      <c r="R11" s="38">
        <v>40603</v>
      </c>
      <c r="S11" s="38">
        <v>41395</v>
      </c>
      <c r="T11" s="39">
        <v>27</v>
      </c>
      <c r="U11" s="40">
        <v>0</v>
      </c>
      <c r="V11" s="40">
        <v>0</v>
      </c>
      <c r="W11" s="40"/>
      <c r="X11" s="23"/>
      <c r="Y11" s="23"/>
      <c r="Z11" s="23"/>
      <c r="AA11" s="23"/>
      <c r="AB11" s="23"/>
      <c r="AC11" s="36"/>
      <c r="AD11" s="36"/>
      <c r="AE11" s="23"/>
      <c r="AF11" s="23"/>
      <c r="AG11" s="23"/>
      <c r="AH11" s="23"/>
      <c r="AI11" s="23"/>
      <c r="AJ11" s="23"/>
      <c r="AK11" s="23"/>
    </row>
    <row r="12" spans="1:37" ht="33" hidden="1" x14ac:dyDescent="0.3">
      <c r="B12" s="23" t="s">
        <v>74</v>
      </c>
      <c r="C12" s="34"/>
      <c r="D12" s="23"/>
      <c r="E12" s="23"/>
      <c r="F12" s="23"/>
      <c r="G12" s="35"/>
      <c r="H12" s="36"/>
      <c r="I12" s="36"/>
      <c r="J12" s="35"/>
      <c r="K12" s="35"/>
      <c r="L12" s="37" t="s">
        <v>62</v>
      </c>
      <c r="M12" s="28" t="s">
        <v>393</v>
      </c>
      <c r="N12" s="37"/>
      <c r="O12" s="28" t="s">
        <v>85</v>
      </c>
      <c r="P12" s="37" t="s">
        <v>394</v>
      </c>
      <c r="Q12" s="28" t="s">
        <v>395</v>
      </c>
      <c r="R12" s="38">
        <v>40513</v>
      </c>
      <c r="S12" s="38">
        <v>40575</v>
      </c>
      <c r="T12" s="39">
        <v>3</v>
      </c>
      <c r="U12" s="40">
        <v>0</v>
      </c>
      <c r="V12" s="40">
        <v>1</v>
      </c>
      <c r="W12" s="40"/>
      <c r="X12" s="23"/>
      <c r="Y12" s="23"/>
      <c r="Z12" s="23"/>
      <c r="AA12" s="23"/>
      <c r="AB12" s="23"/>
      <c r="AC12" s="36"/>
      <c r="AD12" s="36"/>
      <c r="AE12" s="23"/>
      <c r="AF12" s="23"/>
      <c r="AG12" s="23"/>
      <c r="AH12" s="23"/>
      <c r="AI12" s="23"/>
      <c r="AJ12" s="23"/>
      <c r="AK12" s="23"/>
    </row>
    <row r="13" spans="1:37" hidden="1" x14ac:dyDescent="0.3">
      <c r="B13" s="23" t="s">
        <v>74</v>
      </c>
      <c r="C13" s="34"/>
      <c r="D13" s="23"/>
      <c r="E13" s="23"/>
      <c r="F13" s="23"/>
      <c r="G13" s="35"/>
      <c r="H13" s="36"/>
      <c r="I13" s="36"/>
      <c r="J13" s="35"/>
      <c r="K13" s="35"/>
      <c r="L13" s="37" t="s">
        <v>396</v>
      </c>
      <c r="M13" s="28" t="s">
        <v>397</v>
      </c>
      <c r="N13" s="37"/>
      <c r="O13" s="28" t="s">
        <v>76</v>
      </c>
      <c r="P13" s="37" t="s">
        <v>86</v>
      </c>
      <c r="Q13" s="28" t="s">
        <v>91</v>
      </c>
      <c r="R13" s="38">
        <v>40269</v>
      </c>
      <c r="S13" s="38">
        <v>40452</v>
      </c>
      <c r="T13" s="39">
        <v>7</v>
      </c>
      <c r="U13" s="40">
        <v>0</v>
      </c>
      <c r="V13" s="40">
        <v>6</v>
      </c>
      <c r="W13" s="40"/>
      <c r="X13" s="23"/>
      <c r="Y13" s="23"/>
      <c r="Z13" s="23"/>
      <c r="AA13" s="23"/>
      <c r="AB13" s="23"/>
      <c r="AC13" s="36"/>
      <c r="AD13" s="36"/>
      <c r="AE13" s="23"/>
      <c r="AF13" s="23"/>
      <c r="AG13" s="23"/>
      <c r="AH13" s="23"/>
      <c r="AI13" s="23"/>
      <c r="AJ13" s="23"/>
      <c r="AK13" s="23"/>
    </row>
    <row r="14" spans="1:37" ht="33" hidden="1" x14ac:dyDescent="0.3">
      <c r="B14" s="23" t="s">
        <v>74</v>
      </c>
      <c r="C14" s="34"/>
      <c r="D14" s="23"/>
      <c r="E14" s="23"/>
      <c r="F14" s="23"/>
      <c r="G14" s="35"/>
      <c r="H14" s="36"/>
      <c r="I14" s="36"/>
      <c r="J14" s="35"/>
      <c r="K14" s="35"/>
      <c r="L14" s="37" t="s">
        <v>62</v>
      </c>
      <c r="M14" s="28" t="s">
        <v>92</v>
      </c>
      <c r="N14" s="37"/>
      <c r="O14" s="28" t="s">
        <v>85</v>
      </c>
      <c r="P14" s="37" t="s">
        <v>57</v>
      </c>
      <c r="Q14" s="28" t="s">
        <v>93</v>
      </c>
      <c r="R14" s="38">
        <v>39661</v>
      </c>
      <c r="S14" s="38">
        <v>40057</v>
      </c>
      <c r="T14" s="39">
        <v>14</v>
      </c>
      <c r="U14" s="40">
        <v>0</v>
      </c>
      <c r="V14" s="40">
        <v>0</v>
      </c>
      <c r="W14" s="40"/>
      <c r="X14" s="23"/>
      <c r="Y14" s="23"/>
      <c r="Z14" s="23"/>
      <c r="AA14" s="23"/>
      <c r="AB14" s="23"/>
      <c r="AC14" s="36"/>
      <c r="AD14" s="36"/>
      <c r="AE14" s="23"/>
      <c r="AF14" s="23"/>
      <c r="AG14" s="23"/>
      <c r="AH14" s="23"/>
      <c r="AI14" s="23"/>
      <c r="AJ14" s="23"/>
      <c r="AK14" s="23"/>
    </row>
    <row r="15" spans="1:37" ht="33" hidden="1" x14ac:dyDescent="0.3">
      <c r="B15" s="23" t="s">
        <v>74</v>
      </c>
      <c r="C15" s="34"/>
      <c r="D15" s="23"/>
      <c r="E15" s="23"/>
      <c r="F15" s="23"/>
      <c r="G15" s="35"/>
      <c r="H15" s="36"/>
      <c r="I15" s="36"/>
      <c r="J15" s="35"/>
      <c r="K15" s="35"/>
      <c r="L15" s="37" t="s">
        <v>62</v>
      </c>
      <c r="M15" s="28" t="s">
        <v>398</v>
      </c>
      <c r="N15" s="37"/>
      <c r="O15" s="28" t="s">
        <v>85</v>
      </c>
      <c r="P15" s="37" t="s">
        <v>57</v>
      </c>
      <c r="Q15" s="28" t="s">
        <v>93</v>
      </c>
      <c r="R15" s="38">
        <v>39083</v>
      </c>
      <c r="S15" s="38">
        <v>39630</v>
      </c>
      <c r="T15" s="39">
        <v>19</v>
      </c>
      <c r="U15" s="40">
        <v>0</v>
      </c>
      <c r="V15" s="40">
        <v>0</v>
      </c>
      <c r="W15" s="40"/>
      <c r="X15" s="23"/>
      <c r="Y15" s="23"/>
      <c r="Z15" s="23"/>
      <c r="AA15" s="23"/>
      <c r="AB15" s="23"/>
      <c r="AC15" s="36"/>
      <c r="AD15" s="36"/>
      <c r="AE15" s="23"/>
      <c r="AF15" s="23"/>
      <c r="AG15" s="23"/>
      <c r="AH15" s="23"/>
      <c r="AI15" s="23"/>
      <c r="AJ15" s="23"/>
      <c r="AK15" s="23"/>
    </row>
    <row r="16" spans="1:37" ht="33" hidden="1" x14ac:dyDescent="0.3">
      <c r="B16" s="23" t="s">
        <v>74</v>
      </c>
      <c r="C16" s="34"/>
      <c r="D16" s="23"/>
      <c r="E16" s="23"/>
      <c r="F16" s="23"/>
      <c r="G16" s="35"/>
      <c r="H16" s="36"/>
      <c r="I16" s="36"/>
      <c r="J16" s="35"/>
      <c r="K16" s="35"/>
      <c r="L16" s="37" t="s">
        <v>62</v>
      </c>
      <c r="M16" s="28" t="s">
        <v>399</v>
      </c>
      <c r="N16" s="37"/>
      <c r="O16" s="28" t="s">
        <v>85</v>
      </c>
      <c r="P16" s="37" t="s">
        <v>57</v>
      </c>
      <c r="Q16" s="28" t="s">
        <v>93</v>
      </c>
      <c r="R16" s="38">
        <v>38353</v>
      </c>
      <c r="S16" s="38">
        <v>39052</v>
      </c>
      <c r="T16" s="39">
        <v>24</v>
      </c>
      <c r="U16" s="40">
        <v>0</v>
      </c>
      <c r="V16" s="40">
        <v>0</v>
      </c>
      <c r="W16" s="40"/>
      <c r="X16" s="23"/>
      <c r="Y16" s="23"/>
      <c r="Z16" s="23"/>
      <c r="AA16" s="23"/>
      <c r="AB16" s="23"/>
      <c r="AC16" s="36"/>
      <c r="AD16" s="36"/>
      <c r="AE16" s="23"/>
      <c r="AF16" s="23"/>
      <c r="AG16" s="23"/>
      <c r="AH16" s="23"/>
      <c r="AI16" s="23"/>
      <c r="AJ16" s="23"/>
      <c r="AK16" s="23"/>
    </row>
    <row r="17" spans="2:37" ht="33" hidden="1" x14ac:dyDescent="0.3">
      <c r="B17" s="23" t="s">
        <v>74</v>
      </c>
      <c r="C17" s="34"/>
      <c r="D17" s="23"/>
      <c r="E17" s="23"/>
      <c r="F17" s="23"/>
      <c r="G17" s="35"/>
      <c r="H17" s="36"/>
      <c r="I17" s="36"/>
      <c r="J17" s="35"/>
      <c r="K17" s="35"/>
      <c r="L17" s="37" t="s">
        <v>62</v>
      </c>
      <c r="M17" s="28" t="s">
        <v>97</v>
      </c>
      <c r="N17" s="37"/>
      <c r="O17" s="28" t="s">
        <v>85</v>
      </c>
      <c r="P17" s="37" t="s">
        <v>57</v>
      </c>
      <c r="Q17" s="28" t="s">
        <v>93</v>
      </c>
      <c r="R17" s="38">
        <v>37530</v>
      </c>
      <c r="S17" s="38">
        <v>38322</v>
      </c>
      <c r="T17" s="39">
        <v>27</v>
      </c>
      <c r="U17" s="40">
        <v>0</v>
      </c>
      <c r="V17" s="40">
        <v>0</v>
      </c>
      <c r="W17" s="40"/>
      <c r="X17" s="23"/>
      <c r="Y17" s="23"/>
      <c r="Z17" s="23"/>
      <c r="AA17" s="23"/>
      <c r="AB17" s="23"/>
      <c r="AC17" s="36"/>
      <c r="AD17" s="36"/>
      <c r="AE17" s="23"/>
      <c r="AF17" s="23"/>
      <c r="AG17" s="23"/>
      <c r="AH17" s="23"/>
      <c r="AI17" s="23"/>
      <c r="AJ17" s="23"/>
      <c r="AK17" s="23"/>
    </row>
    <row r="18" spans="2:37" ht="33" hidden="1" x14ac:dyDescent="0.3">
      <c r="B18" s="23" t="s">
        <v>74</v>
      </c>
      <c r="C18" s="34"/>
      <c r="D18" s="23"/>
      <c r="E18" s="23"/>
      <c r="F18" s="23"/>
      <c r="G18" s="35"/>
      <c r="H18" s="36"/>
      <c r="I18" s="36"/>
      <c r="J18" s="35"/>
      <c r="K18" s="35"/>
      <c r="L18" s="37" t="s">
        <v>62</v>
      </c>
      <c r="M18" s="28" t="s">
        <v>400</v>
      </c>
      <c r="N18" s="37"/>
      <c r="O18" s="28" t="s">
        <v>85</v>
      </c>
      <c r="P18" s="37" t="s">
        <v>86</v>
      </c>
      <c r="Q18" s="28" t="s">
        <v>98</v>
      </c>
      <c r="R18" s="38">
        <v>37257</v>
      </c>
      <c r="S18" s="38">
        <v>37500</v>
      </c>
      <c r="T18" s="39">
        <v>9</v>
      </c>
      <c r="U18" s="40">
        <v>0</v>
      </c>
      <c r="V18" s="40">
        <v>0</v>
      </c>
      <c r="W18" s="40"/>
      <c r="X18" s="23"/>
      <c r="Y18" s="23"/>
      <c r="Z18" s="23"/>
      <c r="AA18" s="23"/>
      <c r="AB18" s="23"/>
      <c r="AC18" s="36"/>
      <c r="AD18" s="36"/>
      <c r="AE18" s="23"/>
      <c r="AF18" s="23"/>
      <c r="AG18" s="23"/>
      <c r="AH18" s="23"/>
      <c r="AI18" s="23"/>
      <c r="AJ18" s="23"/>
      <c r="AK18" s="23"/>
    </row>
    <row r="19" spans="2:37" ht="33" hidden="1" x14ac:dyDescent="0.3">
      <c r="B19" s="23" t="s">
        <v>74</v>
      </c>
      <c r="C19" s="34"/>
      <c r="D19" s="23"/>
      <c r="E19" s="23"/>
      <c r="F19" s="23"/>
      <c r="G19" s="35"/>
      <c r="H19" s="36"/>
      <c r="I19" s="36"/>
      <c r="J19" s="35"/>
      <c r="K19" s="35"/>
      <c r="L19" s="37" t="s">
        <v>62</v>
      </c>
      <c r="M19" s="28" t="s">
        <v>401</v>
      </c>
      <c r="N19" s="37"/>
      <c r="O19" s="28" t="s">
        <v>85</v>
      </c>
      <c r="P19" s="37" t="s">
        <v>402</v>
      </c>
      <c r="Q19" s="28" t="s">
        <v>98</v>
      </c>
      <c r="R19" s="38">
        <v>37165</v>
      </c>
      <c r="S19" s="38">
        <v>37226</v>
      </c>
      <c r="T19" s="39">
        <v>3</v>
      </c>
      <c r="U19" s="40">
        <v>0</v>
      </c>
      <c r="V19" s="40">
        <v>0</v>
      </c>
      <c r="W19" s="40"/>
      <c r="X19" s="23"/>
      <c r="Y19" s="23"/>
      <c r="Z19" s="23"/>
      <c r="AA19" s="23"/>
      <c r="AB19" s="23"/>
      <c r="AC19" s="36"/>
      <c r="AD19" s="36"/>
      <c r="AE19" s="23"/>
      <c r="AF19" s="23"/>
      <c r="AG19" s="23"/>
      <c r="AH19" s="23"/>
      <c r="AI19" s="23"/>
      <c r="AJ19" s="23"/>
      <c r="AK19" s="23"/>
    </row>
    <row r="20" spans="2:37" hidden="1" x14ac:dyDescent="0.3">
      <c r="B20" s="23" t="s">
        <v>74</v>
      </c>
      <c r="C20" s="34"/>
      <c r="D20" s="23"/>
      <c r="E20" s="23"/>
      <c r="F20" s="23"/>
      <c r="G20" s="35"/>
      <c r="H20" s="36"/>
      <c r="I20" s="36"/>
      <c r="J20" s="35"/>
      <c r="K20" s="35"/>
      <c r="L20" s="37" t="s">
        <v>136</v>
      </c>
      <c r="M20" s="28" t="s">
        <v>403</v>
      </c>
      <c r="N20" s="37" t="s">
        <v>60</v>
      </c>
      <c r="O20" s="28" t="s">
        <v>85</v>
      </c>
      <c r="P20" s="37" t="s">
        <v>402</v>
      </c>
      <c r="Q20" s="28" t="s">
        <v>404</v>
      </c>
      <c r="R20" s="38">
        <v>36892</v>
      </c>
      <c r="S20" s="38">
        <v>37135</v>
      </c>
      <c r="T20" s="39">
        <v>9</v>
      </c>
      <c r="U20" s="40">
        <v>0</v>
      </c>
      <c r="V20" s="40">
        <v>0</v>
      </c>
      <c r="W20" s="40"/>
      <c r="X20" s="23"/>
      <c r="Y20" s="23"/>
      <c r="Z20" s="23"/>
      <c r="AA20" s="23"/>
      <c r="AB20" s="23"/>
      <c r="AC20" s="36"/>
      <c r="AD20" s="36"/>
      <c r="AE20" s="23"/>
      <c r="AF20" s="23"/>
      <c r="AG20" s="23"/>
      <c r="AH20" s="23"/>
      <c r="AI20" s="23"/>
      <c r="AJ20" s="23"/>
      <c r="AK20" s="23"/>
    </row>
    <row r="21" spans="2:37" ht="33" hidden="1" x14ac:dyDescent="0.3">
      <c r="B21" s="23" t="s">
        <v>80</v>
      </c>
      <c r="C21" s="34"/>
      <c r="D21" s="23"/>
      <c r="E21" s="23"/>
      <c r="F21" s="23"/>
      <c r="G21" s="35"/>
      <c r="H21" s="36"/>
      <c r="I21" s="36"/>
      <c r="J21" s="35"/>
      <c r="K21" s="35"/>
      <c r="L21" s="37" t="s">
        <v>62</v>
      </c>
      <c r="M21" s="28" t="s">
        <v>405</v>
      </c>
      <c r="N21" s="37"/>
      <c r="O21" s="28" t="s">
        <v>85</v>
      </c>
      <c r="P21" s="37" t="s">
        <v>57</v>
      </c>
      <c r="Q21" s="28" t="s">
        <v>99</v>
      </c>
      <c r="R21" s="38">
        <v>35521</v>
      </c>
      <c r="S21" s="38">
        <v>36861</v>
      </c>
      <c r="T21" s="39">
        <v>45</v>
      </c>
      <c r="U21" s="40">
        <v>0</v>
      </c>
      <c r="V21" s="40">
        <v>0</v>
      </c>
      <c r="W21" s="40"/>
      <c r="X21" s="23"/>
      <c r="Y21" s="23"/>
      <c r="Z21" s="23"/>
      <c r="AA21" s="23"/>
      <c r="AB21" s="23"/>
      <c r="AC21" s="36"/>
      <c r="AD21" s="36"/>
      <c r="AE21" s="23"/>
      <c r="AF21" s="23"/>
      <c r="AG21" s="23"/>
      <c r="AH21" s="23"/>
      <c r="AI21" s="23"/>
      <c r="AJ21" s="23"/>
      <c r="AK21" s="23"/>
    </row>
    <row r="22" spans="2:37" ht="33" hidden="1" x14ac:dyDescent="0.3">
      <c r="B22" s="23" t="s">
        <v>74</v>
      </c>
      <c r="C22" s="34"/>
      <c r="D22" s="23"/>
      <c r="E22" s="23"/>
      <c r="F22" s="23"/>
      <c r="G22" s="35"/>
      <c r="H22" s="36"/>
      <c r="I22" s="36"/>
      <c r="J22" s="35"/>
      <c r="K22" s="35"/>
      <c r="L22" s="37" t="s">
        <v>62</v>
      </c>
      <c r="M22" s="28" t="s">
        <v>406</v>
      </c>
      <c r="N22" s="37"/>
      <c r="O22" s="28" t="s">
        <v>85</v>
      </c>
      <c r="P22" s="37" t="s">
        <v>407</v>
      </c>
      <c r="Q22" s="28" t="s">
        <v>91</v>
      </c>
      <c r="R22" s="38">
        <v>35065</v>
      </c>
      <c r="S22" s="38">
        <v>35490</v>
      </c>
      <c r="T22" s="39">
        <v>15</v>
      </c>
      <c r="U22" s="40">
        <v>0</v>
      </c>
      <c r="V22" s="40">
        <v>0</v>
      </c>
      <c r="W22" s="40"/>
      <c r="X22" s="23"/>
      <c r="Y22" s="23"/>
      <c r="Z22" s="23"/>
      <c r="AA22" s="23"/>
      <c r="AB22" s="23"/>
      <c r="AC22" s="36"/>
      <c r="AD22" s="36"/>
      <c r="AE22" s="23"/>
      <c r="AF22" s="23"/>
      <c r="AG22" s="23"/>
      <c r="AH22" s="23"/>
      <c r="AI22" s="23"/>
      <c r="AJ22" s="23"/>
      <c r="AK22" s="23"/>
    </row>
    <row r="23" spans="2:37" ht="33" hidden="1" x14ac:dyDescent="0.3">
      <c r="B23" s="23" t="s">
        <v>74</v>
      </c>
      <c r="C23" s="34"/>
      <c r="D23" s="23"/>
      <c r="E23" s="23"/>
      <c r="F23" s="23"/>
      <c r="G23" s="35"/>
      <c r="H23" s="36"/>
      <c r="I23" s="36"/>
      <c r="J23" s="35"/>
      <c r="K23" s="35"/>
      <c r="L23" s="37" t="s">
        <v>62</v>
      </c>
      <c r="M23" s="28" t="s">
        <v>408</v>
      </c>
      <c r="N23" s="37"/>
      <c r="O23" s="28" t="s">
        <v>85</v>
      </c>
      <c r="P23" s="37" t="s">
        <v>57</v>
      </c>
      <c r="Q23" s="28" t="s">
        <v>69</v>
      </c>
      <c r="R23" s="38">
        <v>34486</v>
      </c>
      <c r="S23" s="38">
        <v>35034</v>
      </c>
      <c r="T23" s="39">
        <v>19</v>
      </c>
      <c r="U23" s="40">
        <v>0</v>
      </c>
      <c r="V23" s="40">
        <v>0</v>
      </c>
      <c r="W23" s="40"/>
      <c r="X23" s="23"/>
      <c r="Y23" s="23"/>
      <c r="Z23" s="23"/>
      <c r="AA23" s="23"/>
      <c r="AB23" s="23"/>
      <c r="AC23" s="36"/>
      <c r="AD23" s="36"/>
      <c r="AE23" s="23"/>
      <c r="AF23" s="23"/>
      <c r="AG23" s="23"/>
      <c r="AH23" s="23"/>
      <c r="AI23" s="23"/>
      <c r="AJ23" s="23"/>
      <c r="AK23" s="23"/>
    </row>
    <row r="24" spans="2:37" hidden="1" x14ac:dyDescent="0.3">
      <c r="B24" s="23" t="s">
        <v>74</v>
      </c>
      <c r="C24" s="34"/>
      <c r="D24" s="23"/>
      <c r="E24" s="23"/>
      <c r="F24" s="23"/>
      <c r="G24" s="35"/>
      <c r="H24" s="36"/>
      <c r="I24" s="36"/>
      <c r="J24" s="35"/>
      <c r="K24" s="35"/>
      <c r="L24" s="37" t="s">
        <v>62</v>
      </c>
      <c r="M24" s="28" t="s">
        <v>409</v>
      </c>
      <c r="N24" s="37"/>
      <c r="O24" s="28" t="s">
        <v>85</v>
      </c>
      <c r="P24" s="37" t="s">
        <v>57</v>
      </c>
      <c r="Q24" s="28" t="s">
        <v>69</v>
      </c>
      <c r="R24" s="38">
        <v>33878</v>
      </c>
      <c r="S24" s="38">
        <v>34455</v>
      </c>
      <c r="T24" s="39">
        <v>20</v>
      </c>
      <c r="U24" s="40">
        <v>0</v>
      </c>
      <c r="V24" s="40">
        <v>0</v>
      </c>
      <c r="W24" s="40"/>
      <c r="X24" s="23"/>
      <c r="Y24" s="23"/>
      <c r="Z24" s="23"/>
      <c r="AA24" s="23"/>
      <c r="AB24" s="23"/>
      <c r="AC24" s="36"/>
      <c r="AD24" s="36"/>
      <c r="AE24" s="23"/>
      <c r="AF24" s="23"/>
      <c r="AG24" s="23"/>
      <c r="AH24" s="23"/>
      <c r="AI24" s="23"/>
      <c r="AJ24" s="23"/>
      <c r="AK24" s="23"/>
    </row>
    <row r="25" spans="2:37" hidden="1" x14ac:dyDescent="0.3">
      <c r="B25" s="23" t="s">
        <v>74</v>
      </c>
      <c r="C25" s="34"/>
      <c r="D25" s="23"/>
      <c r="E25" s="23"/>
      <c r="F25" s="23"/>
      <c r="G25" s="35"/>
      <c r="H25" s="36"/>
      <c r="I25" s="36"/>
      <c r="J25" s="35"/>
      <c r="K25" s="35"/>
      <c r="L25" s="37" t="s">
        <v>62</v>
      </c>
      <c r="M25" s="28" t="s">
        <v>410</v>
      </c>
      <c r="N25" s="37"/>
      <c r="O25" s="28" t="s">
        <v>85</v>
      </c>
      <c r="P25" s="37" t="s">
        <v>129</v>
      </c>
      <c r="Q25" s="28" t="s">
        <v>101</v>
      </c>
      <c r="R25" s="38">
        <v>33147</v>
      </c>
      <c r="S25" s="38">
        <v>33848</v>
      </c>
      <c r="T25" s="39">
        <v>24</v>
      </c>
      <c r="U25" s="40">
        <v>0</v>
      </c>
      <c r="V25" s="40">
        <v>0</v>
      </c>
      <c r="W25" s="40"/>
      <c r="X25" s="23"/>
      <c r="Y25" s="23"/>
      <c r="Z25" s="23"/>
      <c r="AA25" s="23"/>
      <c r="AB25" s="23"/>
      <c r="AC25" s="36"/>
      <c r="AD25" s="36"/>
      <c r="AE25" s="23"/>
      <c r="AF25" s="23"/>
      <c r="AG25" s="23"/>
      <c r="AH25" s="23"/>
      <c r="AI25" s="23"/>
      <c r="AJ25" s="23"/>
      <c r="AK25" s="23"/>
    </row>
    <row r="26" spans="2:37" ht="33" hidden="1" x14ac:dyDescent="0.3">
      <c r="B26" s="23" t="s">
        <v>74</v>
      </c>
      <c r="C26" s="34"/>
      <c r="D26" s="23"/>
      <c r="E26" s="23"/>
      <c r="F26" s="23"/>
      <c r="G26" s="35"/>
      <c r="H26" s="36"/>
      <c r="I26" s="36"/>
      <c r="J26" s="35"/>
      <c r="K26" s="35"/>
      <c r="L26" s="37" t="s">
        <v>62</v>
      </c>
      <c r="M26" s="28" t="s">
        <v>411</v>
      </c>
      <c r="N26" s="37"/>
      <c r="O26" s="28" t="s">
        <v>85</v>
      </c>
      <c r="P26" s="37" t="s">
        <v>129</v>
      </c>
      <c r="Q26" s="28" t="s">
        <v>101</v>
      </c>
      <c r="R26" s="38">
        <v>32295</v>
      </c>
      <c r="S26" s="38">
        <v>33117</v>
      </c>
      <c r="T26" s="39">
        <v>28</v>
      </c>
      <c r="U26" s="40">
        <v>0</v>
      </c>
      <c r="V26" s="40">
        <v>0</v>
      </c>
      <c r="W26" s="40"/>
      <c r="X26" s="23"/>
      <c r="Y26" s="23"/>
      <c r="Z26" s="23"/>
      <c r="AA26" s="23"/>
      <c r="AB26" s="23"/>
      <c r="AC26" s="36"/>
      <c r="AD26" s="36"/>
      <c r="AE26" s="23"/>
      <c r="AF26" s="23"/>
      <c r="AG26" s="23"/>
      <c r="AH26" s="23"/>
      <c r="AI26" s="23"/>
      <c r="AJ26" s="23"/>
      <c r="AK26" s="23"/>
    </row>
    <row r="27" spans="2:37" hidden="1" x14ac:dyDescent="0.3">
      <c r="B27" s="23" t="s">
        <v>74</v>
      </c>
      <c r="C27" s="34"/>
      <c r="D27" s="23"/>
      <c r="E27" s="23"/>
      <c r="F27" s="23"/>
      <c r="G27" s="35"/>
      <c r="H27" s="36"/>
      <c r="I27" s="36"/>
      <c r="J27" s="35"/>
      <c r="K27" s="35"/>
      <c r="L27" s="37" t="s">
        <v>62</v>
      </c>
      <c r="M27" s="28" t="s">
        <v>412</v>
      </c>
      <c r="N27" s="37"/>
      <c r="O27" s="28" t="s">
        <v>85</v>
      </c>
      <c r="P27" s="37" t="s">
        <v>57</v>
      </c>
      <c r="Q27" s="28" t="s">
        <v>102</v>
      </c>
      <c r="R27" s="38">
        <v>32051</v>
      </c>
      <c r="S27" s="38">
        <v>32264</v>
      </c>
      <c r="T27" s="39">
        <v>8</v>
      </c>
      <c r="U27" s="40">
        <v>0</v>
      </c>
      <c r="V27" s="40">
        <v>11</v>
      </c>
      <c r="W27" s="40"/>
      <c r="X27" s="23"/>
      <c r="Y27" s="23"/>
      <c r="Z27" s="23"/>
      <c r="AA27" s="23"/>
      <c r="AB27" s="23"/>
      <c r="AC27" s="36"/>
      <c r="AD27" s="36"/>
      <c r="AE27" s="23"/>
      <c r="AF27" s="23"/>
      <c r="AG27" s="23"/>
      <c r="AH27" s="23"/>
      <c r="AI27" s="23"/>
      <c r="AJ27" s="23"/>
      <c r="AK27" s="23"/>
    </row>
    <row r="28" spans="2:37" hidden="1" x14ac:dyDescent="0.3">
      <c r="B28" s="23" t="s">
        <v>74</v>
      </c>
      <c r="C28" s="34"/>
      <c r="D28" s="23"/>
      <c r="E28" s="23"/>
      <c r="F28" s="23"/>
      <c r="G28" s="35"/>
      <c r="H28" s="36"/>
      <c r="I28" s="36"/>
      <c r="J28" s="35"/>
      <c r="K28" s="35"/>
      <c r="L28" s="37" t="s">
        <v>62</v>
      </c>
      <c r="M28" s="28" t="s">
        <v>413</v>
      </c>
      <c r="N28" s="37"/>
      <c r="O28" s="28" t="s">
        <v>85</v>
      </c>
      <c r="P28" s="37" t="s">
        <v>57</v>
      </c>
      <c r="Q28" s="28" t="s">
        <v>103</v>
      </c>
      <c r="R28" s="38">
        <v>30895</v>
      </c>
      <c r="S28" s="38">
        <v>31686</v>
      </c>
      <c r="T28" s="39">
        <v>27</v>
      </c>
      <c r="U28" s="40">
        <v>0</v>
      </c>
      <c r="V28" s="40">
        <v>0</v>
      </c>
      <c r="W28" s="40"/>
      <c r="X28" s="23"/>
      <c r="Y28" s="23"/>
      <c r="Z28" s="23"/>
      <c r="AA28" s="23"/>
      <c r="AB28" s="23"/>
      <c r="AC28" s="36"/>
      <c r="AD28" s="36"/>
      <c r="AE28" s="23"/>
      <c r="AF28" s="23"/>
      <c r="AG28" s="23"/>
      <c r="AH28" s="23"/>
      <c r="AI28" s="23"/>
      <c r="AJ28" s="23"/>
      <c r="AK28" s="23"/>
    </row>
    <row r="29" spans="2:37" hidden="1" x14ac:dyDescent="0.3">
      <c r="B29" s="23" t="s">
        <v>74</v>
      </c>
      <c r="C29" s="34"/>
      <c r="D29" s="23"/>
      <c r="E29" s="23"/>
      <c r="F29" s="23"/>
      <c r="G29" s="35"/>
      <c r="H29" s="36"/>
      <c r="I29" s="36"/>
      <c r="J29" s="35"/>
      <c r="K29" s="35"/>
      <c r="L29" s="37" t="s">
        <v>62</v>
      </c>
      <c r="M29" s="28" t="s">
        <v>104</v>
      </c>
      <c r="N29" s="37"/>
      <c r="O29" s="28" t="s">
        <v>85</v>
      </c>
      <c r="P29" s="37" t="s">
        <v>57</v>
      </c>
      <c r="Q29" s="28" t="s">
        <v>103</v>
      </c>
      <c r="R29" s="38">
        <v>30348</v>
      </c>
      <c r="S29" s="38">
        <v>30864</v>
      </c>
      <c r="T29" s="39">
        <v>18</v>
      </c>
      <c r="U29" s="40">
        <v>0</v>
      </c>
      <c r="V29" s="40">
        <v>23</v>
      </c>
      <c r="W29" s="40"/>
      <c r="X29" s="23"/>
      <c r="Y29" s="23"/>
      <c r="Z29" s="23"/>
      <c r="AA29" s="23"/>
      <c r="AB29" s="23"/>
      <c r="AC29" s="36"/>
      <c r="AD29" s="36"/>
      <c r="AE29" s="23"/>
      <c r="AF29" s="23"/>
      <c r="AG29" s="23"/>
      <c r="AH29" s="23"/>
      <c r="AI29" s="23"/>
      <c r="AJ29" s="23"/>
      <c r="AK29" s="23"/>
    </row>
    <row r="30" spans="2:37" hidden="1" x14ac:dyDescent="0.3">
      <c r="B30" s="23" t="s">
        <v>90</v>
      </c>
      <c r="C30" s="23"/>
      <c r="D30" s="23"/>
      <c r="E30" s="23"/>
      <c r="F30" s="23"/>
      <c r="G30" s="23"/>
      <c r="H30" s="23"/>
      <c r="I30" s="23"/>
      <c r="J30" s="23"/>
      <c r="K30" s="23"/>
      <c r="L30" s="28" t="s">
        <v>71</v>
      </c>
      <c r="M30" s="28" t="s">
        <v>105</v>
      </c>
      <c r="N30" s="37"/>
      <c r="O30" s="28" t="s">
        <v>85</v>
      </c>
      <c r="P30" s="37" t="s">
        <v>57</v>
      </c>
      <c r="Q30" s="28" t="s">
        <v>106</v>
      </c>
      <c r="R30" s="38">
        <v>29403</v>
      </c>
      <c r="S30" s="38">
        <v>29618</v>
      </c>
      <c r="T30" s="39">
        <v>8</v>
      </c>
      <c r="U30" s="40">
        <v>0</v>
      </c>
      <c r="V30" s="40">
        <v>34</v>
      </c>
      <c r="W30" s="40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</row>
    <row r="31" spans="2:37" hidden="1" x14ac:dyDescent="0.3">
      <c r="B31" s="23" t="s">
        <v>74</v>
      </c>
      <c r="C31" s="23"/>
      <c r="D31" s="23"/>
      <c r="E31" s="23"/>
      <c r="F31" s="23"/>
      <c r="G31" s="23"/>
      <c r="H31" s="23"/>
      <c r="I31" s="23"/>
      <c r="J31" s="23"/>
      <c r="K31" s="23"/>
      <c r="L31" s="28" t="s">
        <v>71</v>
      </c>
      <c r="M31" s="28" t="s">
        <v>107</v>
      </c>
      <c r="N31" s="37"/>
      <c r="O31" s="28" t="s">
        <v>85</v>
      </c>
      <c r="P31" s="37" t="s">
        <v>77</v>
      </c>
      <c r="Q31" s="28" t="s">
        <v>106</v>
      </c>
      <c r="R31" s="38">
        <v>27881</v>
      </c>
      <c r="S31" s="38">
        <v>28338</v>
      </c>
      <c r="T31" s="39">
        <v>16</v>
      </c>
      <c r="U31" s="40">
        <v>0</v>
      </c>
      <c r="V31" s="40">
        <v>0</v>
      </c>
      <c r="W31" s="40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</row>
    <row r="32" spans="2:37" hidden="1" x14ac:dyDescent="0.3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8"/>
      <c r="M32" s="28"/>
      <c r="N32" s="37"/>
      <c r="O32" s="28"/>
      <c r="P32" s="37"/>
      <c r="Q32" s="28"/>
      <c r="R32" s="38"/>
      <c r="S32" s="38"/>
      <c r="T32" s="39"/>
      <c r="U32" s="40"/>
      <c r="V32" s="40"/>
      <c r="W32" s="40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</row>
    <row r="33" spans="1:37" ht="33" x14ac:dyDescent="0.3">
      <c r="A33">
        <v>2</v>
      </c>
      <c r="B33" s="23" t="s">
        <v>814</v>
      </c>
      <c r="C33" s="34">
        <v>35370</v>
      </c>
      <c r="D33" s="23" t="s">
        <v>815</v>
      </c>
      <c r="E33" s="23" t="s">
        <v>816</v>
      </c>
      <c r="F33" s="23" t="s">
        <v>414</v>
      </c>
      <c r="G33" s="35">
        <v>44774</v>
      </c>
      <c r="H33" s="36">
        <v>0.41666666666666669</v>
      </c>
      <c r="I33" s="36" t="s">
        <v>27</v>
      </c>
      <c r="J33" s="35">
        <v>44897</v>
      </c>
      <c r="K33" s="35" t="s">
        <v>813</v>
      </c>
      <c r="L33" s="37" t="s">
        <v>415</v>
      </c>
      <c r="M33" s="28" t="s">
        <v>416</v>
      </c>
      <c r="N33" s="37"/>
      <c r="O33" s="28" t="s">
        <v>417</v>
      </c>
      <c r="P33" s="37" t="s">
        <v>418</v>
      </c>
      <c r="Q33" s="28" t="s">
        <v>108</v>
      </c>
      <c r="R33" s="38">
        <v>43344</v>
      </c>
      <c r="S33" s="38">
        <v>44166</v>
      </c>
      <c r="T33" s="39">
        <v>28</v>
      </c>
      <c r="U33" s="40">
        <v>0</v>
      </c>
      <c r="V33" s="40">
        <v>0</v>
      </c>
      <c r="W33" s="23" t="s">
        <v>109</v>
      </c>
      <c r="X33" s="23">
        <v>9</v>
      </c>
      <c r="Y33" s="23">
        <v>6</v>
      </c>
      <c r="Z33" s="23"/>
      <c r="AA33" s="23" t="s">
        <v>417</v>
      </c>
      <c r="AB33" s="23" t="s">
        <v>419</v>
      </c>
      <c r="AC33" s="36">
        <v>26.08</v>
      </c>
      <c r="AD33" s="36">
        <v>15.83</v>
      </c>
      <c r="AE33" s="23">
        <v>6</v>
      </c>
      <c r="AF33" s="23">
        <v>7</v>
      </c>
      <c r="AG33" s="23">
        <v>2</v>
      </c>
      <c r="AH33" s="23">
        <v>18.079999999999998</v>
      </c>
      <c r="AI33" s="23">
        <v>1.92</v>
      </c>
      <c r="AJ33" s="36">
        <v>9.92</v>
      </c>
      <c r="AK33" s="23">
        <v>4</v>
      </c>
    </row>
    <row r="34" spans="1:37" hidden="1" x14ac:dyDescent="0.3">
      <c r="B34" s="23" t="s">
        <v>814</v>
      </c>
      <c r="C34" s="34"/>
      <c r="D34" s="23"/>
      <c r="E34" s="23"/>
      <c r="F34" s="23"/>
      <c r="G34" s="35"/>
      <c r="H34" s="36"/>
      <c r="I34" s="36"/>
      <c r="J34" s="35"/>
      <c r="K34" s="35"/>
      <c r="L34" s="37" t="s">
        <v>420</v>
      </c>
      <c r="M34" s="28" t="s">
        <v>421</v>
      </c>
      <c r="N34" s="37"/>
      <c r="O34" s="28" t="s">
        <v>76</v>
      </c>
      <c r="P34" s="37" t="s">
        <v>402</v>
      </c>
      <c r="Q34" s="28" t="s">
        <v>108</v>
      </c>
      <c r="R34" s="38">
        <v>43313</v>
      </c>
      <c r="S34" s="38">
        <v>43313</v>
      </c>
      <c r="T34" s="39">
        <v>1</v>
      </c>
      <c r="U34" s="40">
        <v>0</v>
      </c>
      <c r="V34" s="40">
        <v>13</v>
      </c>
      <c r="W34" s="40"/>
      <c r="X34" s="23"/>
      <c r="Y34" s="23"/>
      <c r="Z34" s="23"/>
      <c r="AA34" s="23"/>
      <c r="AB34" s="23"/>
      <c r="AC34" s="36"/>
      <c r="AD34" s="36"/>
      <c r="AE34" s="23"/>
      <c r="AF34" s="23"/>
      <c r="AG34" s="23"/>
      <c r="AH34" s="23"/>
      <c r="AI34" s="23"/>
      <c r="AJ34" s="23"/>
      <c r="AK34" s="23"/>
    </row>
    <row r="35" spans="1:37" hidden="1" x14ac:dyDescent="0.3">
      <c r="B35" s="23" t="s">
        <v>814</v>
      </c>
      <c r="C35" s="34"/>
      <c r="D35" s="23"/>
      <c r="E35" s="23"/>
      <c r="F35" s="23"/>
      <c r="G35" s="35"/>
      <c r="H35" s="36"/>
      <c r="I35" s="36"/>
      <c r="J35" s="35"/>
      <c r="K35" s="35"/>
      <c r="L35" s="37" t="s">
        <v>396</v>
      </c>
      <c r="M35" s="28" t="s">
        <v>422</v>
      </c>
      <c r="N35" s="37"/>
      <c r="O35" s="28" t="s">
        <v>423</v>
      </c>
      <c r="P35" s="37" t="s">
        <v>418</v>
      </c>
      <c r="Q35" s="28" t="s">
        <v>424</v>
      </c>
      <c r="R35" s="38">
        <v>41609</v>
      </c>
      <c r="S35" s="38">
        <v>42887</v>
      </c>
      <c r="T35" s="39">
        <v>43</v>
      </c>
      <c r="U35" s="40">
        <v>0</v>
      </c>
      <c r="V35" s="40">
        <v>0</v>
      </c>
      <c r="W35" s="40"/>
      <c r="X35" s="23"/>
      <c r="Y35" s="23"/>
      <c r="Z35" s="23"/>
      <c r="AA35" s="23"/>
      <c r="AB35" s="23"/>
      <c r="AC35" s="36"/>
      <c r="AD35" s="36"/>
      <c r="AE35" s="23"/>
      <c r="AF35" s="23"/>
      <c r="AG35" s="23"/>
      <c r="AH35" s="23"/>
      <c r="AI35" s="23"/>
      <c r="AJ35" s="23"/>
      <c r="AK35" s="23"/>
    </row>
    <row r="36" spans="1:37" ht="33" hidden="1" x14ac:dyDescent="0.3">
      <c r="B36" s="23" t="s">
        <v>814</v>
      </c>
      <c r="C36" s="34"/>
      <c r="D36" s="23"/>
      <c r="E36" s="23"/>
      <c r="F36" s="23"/>
      <c r="G36" s="35"/>
      <c r="H36" s="36"/>
      <c r="I36" s="36"/>
      <c r="J36" s="35"/>
      <c r="K36" s="35"/>
      <c r="L36" s="37" t="s">
        <v>425</v>
      </c>
      <c r="M36" s="28" t="s">
        <v>426</v>
      </c>
      <c r="N36" s="37"/>
      <c r="O36" s="28" t="s">
        <v>417</v>
      </c>
      <c r="P36" s="37" t="s">
        <v>77</v>
      </c>
      <c r="Q36" s="28" t="s">
        <v>110</v>
      </c>
      <c r="R36" s="38">
        <v>40238</v>
      </c>
      <c r="S36" s="38">
        <v>41579</v>
      </c>
      <c r="T36" s="39">
        <v>45</v>
      </c>
      <c r="U36" s="40">
        <v>0</v>
      </c>
      <c r="V36" s="40">
        <v>0</v>
      </c>
      <c r="W36" s="40"/>
      <c r="X36" s="23"/>
      <c r="Y36" s="23"/>
      <c r="Z36" s="23"/>
      <c r="AA36" s="23"/>
      <c r="AB36" s="23"/>
      <c r="AC36" s="36"/>
      <c r="AD36" s="36"/>
      <c r="AE36" s="23"/>
      <c r="AF36" s="23"/>
      <c r="AG36" s="23"/>
      <c r="AH36" s="23"/>
      <c r="AI36" s="23"/>
      <c r="AJ36" s="23"/>
      <c r="AK36" s="23"/>
    </row>
    <row r="37" spans="1:37" hidden="1" x14ac:dyDescent="0.3">
      <c r="B37" s="23" t="s">
        <v>814</v>
      </c>
      <c r="C37" s="34"/>
      <c r="D37" s="23"/>
      <c r="E37" s="23"/>
      <c r="F37" s="23"/>
      <c r="G37" s="35"/>
      <c r="H37" s="36"/>
      <c r="I37" s="36"/>
      <c r="J37" s="35"/>
      <c r="K37" s="35"/>
      <c r="L37" s="37" t="s">
        <v>62</v>
      </c>
      <c r="M37" s="28" t="s">
        <v>427</v>
      </c>
      <c r="N37" s="37"/>
      <c r="O37" s="28" t="s">
        <v>56</v>
      </c>
      <c r="P37" s="37" t="s">
        <v>77</v>
      </c>
      <c r="Q37" s="28" t="s">
        <v>111</v>
      </c>
      <c r="R37" s="38">
        <v>40118</v>
      </c>
      <c r="S37" s="38">
        <v>40210</v>
      </c>
      <c r="T37" s="39">
        <v>4</v>
      </c>
      <c r="U37" s="40">
        <v>0</v>
      </c>
      <c r="V37" s="40">
        <v>0</v>
      </c>
      <c r="W37" s="40"/>
      <c r="X37" s="23"/>
      <c r="Y37" s="23"/>
      <c r="Z37" s="23"/>
      <c r="AA37" s="23"/>
      <c r="AB37" s="23"/>
      <c r="AC37" s="36"/>
      <c r="AD37" s="36"/>
      <c r="AE37" s="23"/>
      <c r="AF37" s="23"/>
      <c r="AG37" s="23"/>
      <c r="AH37" s="23"/>
      <c r="AI37" s="23"/>
      <c r="AJ37" s="23"/>
      <c r="AK37" s="23"/>
    </row>
    <row r="38" spans="1:37" hidden="1" x14ac:dyDescent="0.3">
      <c r="B38" s="23" t="s">
        <v>817</v>
      </c>
      <c r="C38" s="34"/>
      <c r="D38" s="23"/>
      <c r="E38" s="23"/>
      <c r="F38" s="23"/>
      <c r="G38" s="35"/>
      <c r="H38" s="36"/>
      <c r="I38" s="36"/>
      <c r="J38" s="35"/>
      <c r="K38" s="35"/>
      <c r="L38" s="37" t="s">
        <v>396</v>
      </c>
      <c r="M38" s="28" t="s">
        <v>112</v>
      </c>
      <c r="N38" s="37"/>
      <c r="O38" s="28" t="s">
        <v>85</v>
      </c>
      <c r="P38" s="37"/>
      <c r="Q38" s="28" t="s">
        <v>111</v>
      </c>
      <c r="R38" s="38">
        <v>40026</v>
      </c>
      <c r="S38" s="38">
        <v>40087</v>
      </c>
      <c r="T38" s="39">
        <v>3</v>
      </c>
      <c r="U38" s="40">
        <v>0</v>
      </c>
      <c r="V38" s="40">
        <v>6</v>
      </c>
      <c r="W38" s="40"/>
      <c r="X38" s="23"/>
      <c r="Y38" s="23"/>
      <c r="Z38" s="23"/>
      <c r="AA38" s="23"/>
      <c r="AB38" s="23"/>
      <c r="AC38" s="36"/>
      <c r="AD38" s="36"/>
      <c r="AE38" s="23"/>
      <c r="AF38" s="23"/>
      <c r="AG38" s="23"/>
      <c r="AH38" s="23"/>
      <c r="AI38" s="23"/>
      <c r="AJ38" s="23"/>
      <c r="AK38" s="23"/>
    </row>
    <row r="39" spans="1:37" hidden="1" x14ac:dyDescent="0.3">
      <c r="B39" s="23" t="s">
        <v>818</v>
      </c>
      <c r="C39" s="34"/>
      <c r="D39" s="23"/>
      <c r="E39" s="23"/>
      <c r="F39" s="23"/>
      <c r="G39" s="35"/>
      <c r="H39" s="36"/>
      <c r="I39" s="36"/>
      <c r="J39" s="35"/>
      <c r="K39" s="35"/>
      <c r="L39" s="37" t="s">
        <v>94</v>
      </c>
      <c r="M39" s="28" t="s">
        <v>113</v>
      </c>
      <c r="N39" s="37"/>
      <c r="O39" s="28" t="s">
        <v>85</v>
      </c>
      <c r="P39" s="37" t="s">
        <v>77</v>
      </c>
      <c r="Q39" s="28" t="s">
        <v>111</v>
      </c>
      <c r="R39" s="38">
        <v>38108</v>
      </c>
      <c r="S39" s="38">
        <v>39814</v>
      </c>
      <c r="T39" s="39">
        <v>57</v>
      </c>
      <c r="U39" s="40">
        <v>0</v>
      </c>
      <c r="V39" s="40">
        <v>0</v>
      </c>
      <c r="W39" s="40"/>
      <c r="X39" s="23"/>
      <c r="Y39" s="23"/>
      <c r="Z39" s="23"/>
      <c r="AA39" s="23"/>
      <c r="AB39" s="23"/>
      <c r="AC39" s="36"/>
      <c r="AD39" s="36"/>
      <c r="AE39" s="23"/>
      <c r="AF39" s="23"/>
      <c r="AG39" s="23"/>
      <c r="AH39" s="23"/>
      <c r="AI39" s="23"/>
      <c r="AJ39" s="23"/>
      <c r="AK39" s="23"/>
    </row>
    <row r="40" spans="1:37" ht="33" hidden="1" x14ac:dyDescent="0.3">
      <c r="B40" s="23" t="s">
        <v>814</v>
      </c>
      <c r="C40" s="34"/>
      <c r="D40" s="23"/>
      <c r="E40" s="23"/>
      <c r="F40" s="23"/>
      <c r="G40" s="35"/>
      <c r="H40" s="36"/>
      <c r="I40" s="36"/>
      <c r="J40" s="35"/>
      <c r="K40" s="35"/>
      <c r="L40" s="37" t="s">
        <v>94</v>
      </c>
      <c r="M40" s="28" t="s">
        <v>428</v>
      </c>
      <c r="N40" s="37"/>
      <c r="O40" s="28" t="s">
        <v>417</v>
      </c>
      <c r="P40" s="37" t="s">
        <v>407</v>
      </c>
      <c r="Q40" s="28" t="s">
        <v>111</v>
      </c>
      <c r="R40" s="38">
        <v>37438</v>
      </c>
      <c r="S40" s="38">
        <v>38078</v>
      </c>
      <c r="T40" s="39">
        <v>22</v>
      </c>
      <c r="U40" s="40">
        <v>0</v>
      </c>
      <c r="V40" s="40">
        <v>0</v>
      </c>
      <c r="W40" s="40"/>
      <c r="X40" s="23"/>
      <c r="Y40" s="23"/>
      <c r="Z40" s="23"/>
      <c r="AA40" s="23"/>
      <c r="AB40" s="23"/>
      <c r="AC40" s="36"/>
      <c r="AD40" s="36"/>
      <c r="AE40" s="23"/>
      <c r="AF40" s="23"/>
      <c r="AG40" s="23"/>
      <c r="AH40" s="23"/>
      <c r="AI40" s="23"/>
      <c r="AJ40" s="23"/>
      <c r="AK40" s="23"/>
    </row>
    <row r="41" spans="1:37" ht="33" hidden="1" x14ac:dyDescent="0.3">
      <c r="B41" s="23" t="s">
        <v>814</v>
      </c>
      <c r="C41" s="34"/>
      <c r="D41" s="23"/>
      <c r="E41" s="23"/>
      <c r="F41" s="23"/>
      <c r="G41" s="35"/>
      <c r="H41" s="36"/>
      <c r="I41" s="36"/>
      <c r="J41" s="35"/>
      <c r="K41" s="35"/>
      <c r="L41" s="37" t="s">
        <v>94</v>
      </c>
      <c r="M41" s="28" t="s">
        <v>429</v>
      </c>
      <c r="N41" s="37"/>
      <c r="O41" s="28" t="s">
        <v>417</v>
      </c>
      <c r="P41" s="37" t="s">
        <v>418</v>
      </c>
      <c r="Q41" s="28" t="s">
        <v>115</v>
      </c>
      <c r="R41" s="38">
        <v>35582</v>
      </c>
      <c r="S41" s="38">
        <v>37408</v>
      </c>
      <c r="T41" s="39">
        <v>61</v>
      </c>
      <c r="U41" s="40">
        <v>0</v>
      </c>
      <c r="V41" s="40">
        <v>0</v>
      </c>
      <c r="W41" s="40"/>
      <c r="X41" s="23"/>
      <c r="Y41" s="23"/>
      <c r="Z41" s="23"/>
      <c r="AA41" s="23"/>
      <c r="AB41" s="23"/>
      <c r="AC41" s="36"/>
      <c r="AD41" s="36"/>
      <c r="AE41" s="23"/>
      <c r="AF41" s="23"/>
      <c r="AG41" s="23"/>
      <c r="AH41" s="23"/>
      <c r="AI41" s="23"/>
      <c r="AJ41" s="23"/>
      <c r="AK41" s="23"/>
    </row>
    <row r="42" spans="1:37" ht="33" hidden="1" x14ac:dyDescent="0.3">
      <c r="B42" s="23" t="s">
        <v>814</v>
      </c>
      <c r="C42" s="34"/>
      <c r="D42" s="23"/>
      <c r="E42" s="23"/>
      <c r="F42" s="23"/>
      <c r="G42" s="35"/>
      <c r="H42" s="36"/>
      <c r="I42" s="36"/>
      <c r="J42" s="35"/>
      <c r="K42" s="35"/>
      <c r="L42" s="37" t="s">
        <v>94</v>
      </c>
      <c r="M42" s="28" t="s">
        <v>430</v>
      </c>
      <c r="N42" s="37"/>
      <c r="O42" s="28"/>
      <c r="P42" s="37" t="s">
        <v>114</v>
      </c>
      <c r="Q42" s="28" t="s">
        <v>116</v>
      </c>
      <c r="R42" s="38">
        <v>35034</v>
      </c>
      <c r="S42" s="38">
        <v>35551</v>
      </c>
      <c r="T42" s="39">
        <v>18</v>
      </c>
      <c r="U42" s="40">
        <v>0</v>
      </c>
      <c r="V42" s="40">
        <v>0</v>
      </c>
      <c r="W42" s="40"/>
      <c r="X42" s="23"/>
      <c r="Y42" s="23"/>
      <c r="Z42" s="23"/>
      <c r="AA42" s="23"/>
      <c r="AB42" s="23"/>
      <c r="AC42" s="36"/>
      <c r="AD42" s="36"/>
      <c r="AE42" s="23"/>
      <c r="AF42" s="23"/>
      <c r="AG42" s="23"/>
      <c r="AH42" s="23"/>
      <c r="AI42" s="23"/>
      <c r="AJ42" s="23"/>
      <c r="AK42" s="23"/>
    </row>
    <row r="43" spans="1:37" ht="33" hidden="1" x14ac:dyDescent="0.3">
      <c r="B43" s="23" t="s">
        <v>819</v>
      </c>
      <c r="C43" s="34"/>
      <c r="D43" s="23"/>
      <c r="E43" s="23"/>
      <c r="F43" s="23"/>
      <c r="G43" s="35"/>
      <c r="H43" s="36"/>
      <c r="I43" s="36"/>
      <c r="J43" s="35"/>
      <c r="K43" s="35"/>
      <c r="L43" s="37" t="s">
        <v>94</v>
      </c>
      <c r="M43" s="28" t="s">
        <v>117</v>
      </c>
      <c r="N43" s="37"/>
      <c r="O43" s="28"/>
      <c r="P43" s="37"/>
      <c r="Q43" s="28" t="s">
        <v>118</v>
      </c>
      <c r="R43" s="38">
        <v>34669</v>
      </c>
      <c r="S43" s="38">
        <v>35004</v>
      </c>
      <c r="T43" s="39">
        <v>12</v>
      </c>
      <c r="U43" s="40">
        <v>0</v>
      </c>
      <c r="V43" s="40">
        <v>0</v>
      </c>
      <c r="W43" s="40"/>
      <c r="X43" s="23"/>
      <c r="Y43" s="23"/>
      <c r="Z43" s="23"/>
      <c r="AA43" s="23"/>
      <c r="AB43" s="23"/>
      <c r="AC43" s="36"/>
      <c r="AD43" s="36"/>
      <c r="AE43" s="23"/>
      <c r="AF43" s="23"/>
      <c r="AG43" s="23"/>
      <c r="AH43" s="23"/>
      <c r="AI43" s="23"/>
      <c r="AJ43" s="23"/>
      <c r="AK43" s="23"/>
    </row>
    <row r="44" spans="1:37" ht="33" hidden="1" x14ac:dyDescent="0.3">
      <c r="B44" s="23" t="s">
        <v>814</v>
      </c>
      <c r="C44" s="34"/>
      <c r="D44" s="23"/>
      <c r="E44" s="23"/>
      <c r="F44" s="23"/>
      <c r="G44" s="35"/>
      <c r="H44" s="36"/>
      <c r="I44" s="36"/>
      <c r="J44" s="35"/>
      <c r="K44" s="35"/>
      <c r="L44" s="37" t="s">
        <v>94</v>
      </c>
      <c r="M44" s="28" t="s">
        <v>431</v>
      </c>
      <c r="N44" s="37"/>
      <c r="O44" s="28" t="s">
        <v>56</v>
      </c>
      <c r="P44" s="37"/>
      <c r="Q44" s="28" t="s">
        <v>118</v>
      </c>
      <c r="R44" s="38">
        <v>34090</v>
      </c>
      <c r="S44" s="38">
        <v>34639</v>
      </c>
      <c r="T44" s="39">
        <v>19</v>
      </c>
      <c r="U44" s="40">
        <v>0</v>
      </c>
      <c r="V44" s="40">
        <v>0</v>
      </c>
      <c r="W44" s="40"/>
      <c r="X44" s="23"/>
      <c r="Y44" s="23"/>
      <c r="Z44" s="23"/>
      <c r="AA44" s="23"/>
      <c r="AB44" s="23"/>
      <c r="AC44" s="36"/>
      <c r="AD44" s="36"/>
      <c r="AE44" s="23"/>
      <c r="AF44" s="23"/>
      <c r="AG44" s="23"/>
      <c r="AH44" s="23"/>
      <c r="AI44" s="23"/>
      <c r="AJ44" s="23"/>
      <c r="AK44" s="23"/>
    </row>
    <row r="45" spans="1:37" hidden="1" x14ac:dyDescent="0.3">
      <c r="B45" s="23"/>
      <c r="C45" s="34"/>
      <c r="D45" s="23"/>
      <c r="E45" s="23"/>
      <c r="F45" s="23"/>
      <c r="G45" s="35"/>
      <c r="H45" s="36"/>
      <c r="I45" s="36"/>
      <c r="J45" s="35"/>
      <c r="K45" s="35"/>
      <c r="L45" s="37"/>
      <c r="M45" s="28"/>
      <c r="N45" s="37"/>
      <c r="O45" s="28"/>
      <c r="P45" s="37"/>
      <c r="Q45" s="28"/>
      <c r="R45" s="38"/>
      <c r="S45" s="38"/>
      <c r="T45" s="39"/>
      <c r="U45" s="40"/>
      <c r="V45" s="40"/>
      <c r="W45" s="40"/>
      <c r="X45" s="23"/>
      <c r="Y45" s="23"/>
      <c r="Z45" s="23"/>
      <c r="AA45" s="23"/>
      <c r="AB45" s="23"/>
      <c r="AC45" s="36"/>
      <c r="AD45" s="36"/>
      <c r="AE45" s="23"/>
      <c r="AF45" s="23"/>
      <c r="AG45" s="23"/>
      <c r="AH45" s="23"/>
      <c r="AI45" s="23"/>
      <c r="AJ45" s="23"/>
      <c r="AK45" s="23"/>
    </row>
    <row r="46" spans="1:37" ht="33" x14ac:dyDescent="0.3">
      <c r="A46">
        <v>3</v>
      </c>
      <c r="B46" s="23" t="s">
        <v>820</v>
      </c>
      <c r="C46" s="34">
        <v>23600</v>
      </c>
      <c r="D46" s="23" t="s">
        <v>815</v>
      </c>
      <c r="E46" s="23" t="s">
        <v>816</v>
      </c>
      <c r="F46" s="23" t="s">
        <v>120</v>
      </c>
      <c r="G46" s="35">
        <v>32964</v>
      </c>
      <c r="H46" s="36">
        <v>32.75</v>
      </c>
      <c r="I46" s="36" t="s">
        <v>27</v>
      </c>
      <c r="J46" s="35">
        <v>44530</v>
      </c>
      <c r="K46" s="35" t="s">
        <v>813</v>
      </c>
      <c r="L46" s="37" t="s">
        <v>122</v>
      </c>
      <c r="M46" s="28" t="s">
        <v>821</v>
      </c>
      <c r="N46" s="37"/>
      <c r="O46" s="28" t="s">
        <v>85</v>
      </c>
      <c r="P46" s="37" t="s">
        <v>57</v>
      </c>
      <c r="Q46" s="28"/>
      <c r="R46" s="38">
        <v>44562</v>
      </c>
      <c r="S46" s="38">
        <v>44835</v>
      </c>
      <c r="T46" s="39">
        <v>10</v>
      </c>
      <c r="U46" s="40">
        <v>0</v>
      </c>
      <c r="V46" s="40">
        <v>0</v>
      </c>
      <c r="W46" s="23" t="s">
        <v>123</v>
      </c>
      <c r="X46" s="23"/>
      <c r="Y46" s="23">
        <v>3</v>
      </c>
      <c r="Z46" s="23"/>
      <c r="AA46" s="23" t="s">
        <v>85</v>
      </c>
      <c r="AB46" s="23" t="s">
        <v>419</v>
      </c>
      <c r="AC46" s="36">
        <v>32.92</v>
      </c>
      <c r="AD46" s="36">
        <v>8.5</v>
      </c>
      <c r="AE46" s="23">
        <v>3</v>
      </c>
      <c r="AF46" s="23">
        <v>11</v>
      </c>
      <c r="AG46" s="23">
        <v>0</v>
      </c>
      <c r="AH46" s="23">
        <v>32.08</v>
      </c>
      <c r="AI46" s="23">
        <v>0</v>
      </c>
      <c r="AJ46" s="36">
        <v>9.67</v>
      </c>
      <c r="AK46" s="23">
        <v>3</v>
      </c>
    </row>
    <row r="47" spans="1:37" ht="33" hidden="1" x14ac:dyDescent="0.3">
      <c r="B47" s="23" t="s">
        <v>822</v>
      </c>
      <c r="C47" s="34"/>
      <c r="D47" s="23"/>
      <c r="E47" s="23"/>
      <c r="F47" s="23"/>
      <c r="G47" s="35"/>
      <c r="H47" s="36"/>
      <c r="I47" s="36"/>
      <c r="J47" s="35"/>
      <c r="K47" s="35"/>
      <c r="L47" s="37" t="s">
        <v>62</v>
      </c>
      <c r="M47" s="28" t="s">
        <v>823</v>
      </c>
      <c r="N47" s="37"/>
      <c r="O47" s="28" t="s">
        <v>85</v>
      </c>
      <c r="P47" s="37" t="s">
        <v>57</v>
      </c>
      <c r="Q47" s="28" t="s">
        <v>36</v>
      </c>
      <c r="R47" s="38">
        <v>43952</v>
      </c>
      <c r="S47" s="38">
        <v>44531</v>
      </c>
      <c r="T47" s="39">
        <v>20</v>
      </c>
      <c r="U47" s="40">
        <v>0</v>
      </c>
      <c r="V47" s="40">
        <v>1</v>
      </c>
      <c r="W47" s="40"/>
      <c r="X47" s="23"/>
      <c r="Y47" s="23"/>
      <c r="Z47" s="23"/>
      <c r="AA47" s="23"/>
      <c r="AB47" s="23"/>
      <c r="AC47" s="36"/>
      <c r="AD47" s="36"/>
      <c r="AE47" s="23"/>
      <c r="AF47" s="23"/>
      <c r="AG47" s="23"/>
      <c r="AH47" s="23"/>
      <c r="AI47" s="23"/>
      <c r="AJ47" s="23"/>
      <c r="AK47" s="23"/>
    </row>
    <row r="48" spans="1:37" ht="33" hidden="1" x14ac:dyDescent="0.3">
      <c r="B48" s="23" t="s">
        <v>820</v>
      </c>
      <c r="C48" s="34"/>
      <c r="D48" s="23"/>
      <c r="E48" s="23"/>
      <c r="F48" s="23"/>
      <c r="G48" s="35"/>
      <c r="H48" s="36"/>
      <c r="I48" s="36"/>
      <c r="J48" s="35"/>
      <c r="K48" s="35"/>
      <c r="L48" s="37" t="s">
        <v>122</v>
      </c>
      <c r="M48" s="28" t="s">
        <v>824</v>
      </c>
      <c r="N48" s="37"/>
      <c r="O48" s="28" t="s">
        <v>85</v>
      </c>
      <c r="P48" s="37" t="s">
        <v>124</v>
      </c>
      <c r="Q48" s="28" t="s">
        <v>36</v>
      </c>
      <c r="R48" s="38">
        <v>42217</v>
      </c>
      <c r="S48" s="38">
        <v>43891</v>
      </c>
      <c r="T48" s="39">
        <v>56</v>
      </c>
      <c r="U48" s="40">
        <v>0</v>
      </c>
      <c r="V48" s="40">
        <v>0</v>
      </c>
      <c r="W48" s="40"/>
      <c r="X48" s="23"/>
      <c r="Y48" s="23"/>
      <c r="Z48" s="23"/>
      <c r="AA48" s="23"/>
      <c r="AB48" s="23"/>
      <c r="AC48" s="36"/>
      <c r="AD48" s="36"/>
      <c r="AE48" s="23"/>
      <c r="AF48" s="23"/>
      <c r="AG48" s="23"/>
      <c r="AH48" s="23"/>
      <c r="AI48" s="23"/>
      <c r="AJ48" s="23"/>
      <c r="AK48" s="23"/>
    </row>
    <row r="49" spans="1:37" ht="33" hidden="1" x14ac:dyDescent="0.3">
      <c r="B49" s="23" t="s">
        <v>820</v>
      </c>
      <c r="C49" s="34"/>
      <c r="D49" s="23"/>
      <c r="E49" s="23"/>
      <c r="F49" s="23"/>
      <c r="G49" s="35"/>
      <c r="H49" s="36"/>
      <c r="I49" s="36"/>
      <c r="J49" s="35"/>
      <c r="K49" s="35"/>
      <c r="L49" s="37" t="s">
        <v>62</v>
      </c>
      <c r="M49" s="28" t="s">
        <v>825</v>
      </c>
      <c r="N49" s="37"/>
      <c r="O49" s="28" t="s">
        <v>417</v>
      </c>
      <c r="P49" s="37" t="s">
        <v>77</v>
      </c>
      <c r="Q49" s="28" t="s">
        <v>36</v>
      </c>
      <c r="R49" s="38">
        <v>41426</v>
      </c>
      <c r="S49" s="38">
        <v>42186</v>
      </c>
      <c r="T49" s="39">
        <v>26</v>
      </c>
      <c r="U49" s="40">
        <v>0</v>
      </c>
      <c r="V49" s="40">
        <v>1</v>
      </c>
      <c r="W49" s="40"/>
      <c r="X49" s="23"/>
      <c r="Y49" s="23"/>
      <c r="Z49" s="23"/>
      <c r="AA49" s="23"/>
      <c r="AB49" s="23"/>
      <c r="AC49" s="36"/>
      <c r="AD49" s="36"/>
      <c r="AE49" s="23"/>
      <c r="AF49" s="23"/>
      <c r="AG49" s="23"/>
      <c r="AH49" s="23"/>
      <c r="AI49" s="23"/>
      <c r="AJ49" s="23"/>
      <c r="AK49" s="23"/>
    </row>
    <row r="50" spans="1:37" ht="33" hidden="1" x14ac:dyDescent="0.3">
      <c r="B50" s="23" t="s">
        <v>826</v>
      </c>
      <c r="C50" s="34"/>
      <c r="D50" s="23"/>
      <c r="E50" s="23"/>
      <c r="F50" s="23"/>
      <c r="G50" s="35"/>
      <c r="H50" s="36"/>
      <c r="I50" s="36"/>
      <c r="J50" s="35"/>
      <c r="K50" s="35"/>
      <c r="L50" s="37" t="s">
        <v>125</v>
      </c>
      <c r="M50" s="28" t="s">
        <v>432</v>
      </c>
      <c r="N50" s="37" t="s">
        <v>433</v>
      </c>
      <c r="O50" s="28" t="s">
        <v>417</v>
      </c>
      <c r="P50" s="37" t="s">
        <v>77</v>
      </c>
      <c r="Q50" s="28" t="s">
        <v>126</v>
      </c>
      <c r="R50" s="38">
        <v>39873</v>
      </c>
      <c r="S50" s="38">
        <v>41365</v>
      </c>
      <c r="T50" s="39">
        <v>50</v>
      </c>
      <c r="U50" s="40">
        <v>0</v>
      </c>
      <c r="V50" s="40">
        <v>1</v>
      </c>
      <c r="W50" s="40"/>
      <c r="X50" s="23"/>
      <c r="Y50" s="23"/>
      <c r="Z50" s="23"/>
      <c r="AA50" s="23"/>
      <c r="AB50" s="23"/>
      <c r="AC50" s="36"/>
      <c r="AD50" s="36"/>
      <c r="AE50" s="23"/>
      <c r="AF50" s="23"/>
      <c r="AG50" s="23"/>
      <c r="AH50" s="23"/>
      <c r="AI50" s="23"/>
      <c r="AJ50" s="23"/>
      <c r="AK50" s="23"/>
    </row>
    <row r="51" spans="1:37" ht="49.5" hidden="1" x14ac:dyDescent="0.3">
      <c r="B51" s="23" t="s">
        <v>820</v>
      </c>
      <c r="C51" s="34"/>
      <c r="D51" s="23"/>
      <c r="E51" s="23"/>
      <c r="F51" s="23"/>
      <c r="G51" s="35"/>
      <c r="H51" s="36"/>
      <c r="I51" s="36"/>
      <c r="J51" s="35"/>
      <c r="K51" s="35"/>
      <c r="L51" s="37" t="s">
        <v>62</v>
      </c>
      <c r="M51" s="28" t="s">
        <v>127</v>
      </c>
      <c r="N51" s="37"/>
      <c r="O51" s="28" t="s">
        <v>85</v>
      </c>
      <c r="P51" s="37" t="s">
        <v>57</v>
      </c>
      <c r="Q51" s="28" t="s">
        <v>126</v>
      </c>
      <c r="R51" s="38">
        <v>38899</v>
      </c>
      <c r="S51" s="38">
        <v>39814</v>
      </c>
      <c r="T51" s="39">
        <v>31</v>
      </c>
      <c r="U51" s="40">
        <v>0</v>
      </c>
      <c r="V51" s="40">
        <v>0</v>
      </c>
      <c r="W51" s="40"/>
      <c r="X51" s="23"/>
      <c r="Y51" s="23"/>
      <c r="Z51" s="23"/>
      <c r="AA51" s="23"/>
      <c r="AB51" s="23"/>
      <c r="AC51" s="36"/>
      <c r="AD51" s="36"/>
      <c r="AE51" s="23"/>
      <c r="AF51" s="23"/>
      <c r="AG51" s="23"/>
      <c r="AH51" s="23"/>
      <c r="AI51" s="23"/>
      <c r="AJ51" s="23"/>
      <c r="AK51" s="23"/>
    </row>
    <row r="52" spans="1:37" ht="33" hidden="1" x14ac:dyDescent="0.3">
      <c r="B52" s="23" t="s">
        <v>820</v>
      </c>
      <c r="C52" s="34"/>
      <c r="D52" s="23"/>
      <c r="E52" s="23"/>
      <c r="F52" s="23"/>
      <c r="G52" s="35"/>
      <c r="H52" s="36"/>
      <c r="I52" s="36"/>
      <c r="J52" s="35"/>
      <c r="K52" s="35"/>
      <c r="L52" s="37" t="s">
        <v>62</v>
      </c>
      <c r="M52" s="28" t="s">
        <v>434</v>
      </c>
      <c r="N52" s="37"/>
      <c r="O52" s="28" t="s">
        <v>85</v>
      </c>
      <c r="P52" s="37" t="s">
        <v>57</v>
      </c>
      <c r="Q52" s="28" t="s">
        <v>128</v>
      </c>
      <c r="R52" s="38">
        <v>38261</v>
      </c>
      <c r="S52" s="38">
        <v>38869</v>
      </c>
      <c r="T52" s="39">
        <v>21</v>
      </c>
      <c r="U52" s="40">
        <v>0</v>
      </c>
      <c r="V52" s="40">
        <v>0</v>
      </c>
      <c r="W52" s="40"/>
      <c r="X52" s="23"/>
      <c r="Y52" s="23"/>
      <c r="Z52" s="23"/>
      <c r="AA52" s="23"/>
      <c r="AB52" s="23"/>
      <c r="AC52" s="36"/>
      <c r="AD52" s="36"/>
      <c r="AE52" s="23"/>
      <c r="AF52" s="23"/>
      <c r="AG52" s="23"/>
      <c r="AH52" s="23"/>
      <c r="AI52" s="23"/>
      <c r="AJ52" s="23"/>
      <c r="AK52" s="23"/>
    </row>
    <row r="53" spans="1:37" hidden="1" x14ac:dyDescent="0.3">
      <c r="B53" s="23" t="s">
        <v>820</v>
      </c>
      <c r="C53" s="34"/>
      <c r="D53" s="23"/>
      <c r="E53" s="23"/>
      <c r="F53" s="23"/>
      <c r="G53" s="35"/>
      <c r="H53" s="36"/>
      <c r="I53" s="36"/>
      <c r="J53" s="35"/>
      <c r="K53" s="35"/>
      <c r="L53" s="37" t="s">
        <v>62</v>
      </c>
      <c r="M53" s="28" t="s">
        <v>827</v>
      </c>
      <c r="N53" s="37"/>
      <c r="O53" s="28" t="s">
        <v>76</v>
      </c>
      <c r="P53" s="37" t="s">
        <v>129</v>
      </c>
      <c r="Q53" s="28" t="s">
        <v>130</v>
      </c>
      <c r="R53" s="38">
        <v>37347</v>
      </c>
      <c r="S53" s="38">
        <v>38231</v>
      </c>
      <c r="T53" s="39">
        <v>30</v>
      </c>
      <c r="U53" s="40">
        <v>0</v>
      </c>
      <c r="V53" s="40">
        <v>2</v>
      </c>
      <c r="W53" s="40"/>
      <c r="X53" s="23"/>
      <c r="Y53" s="23"/>
      <c r="Z53" s="23"/>
      <c r="AA53" s="23"/>
      <c r="AB53" s="23"/>
      <c r="AC53" s="36"/>
      <c r="AD53" s="36"/>
      <c r="AE53" s="23"/>
      <c r="AF53" s="23"/>
      <c r="AG53" s="23"/>
      <c r="AH53" s="23"/>
      <c r="AI53" s="23"/>
      <c r="AJ53" s="23"/>
      <c r="AK53" s="23"/>
    </row>
    <row r="54" spans="1:37" hidden="1" x14ac:dyDescent="0.3">
      <c r="B54" s="23" t="s">
        <v>828</v>
      </c>
      <c r="C54" s="34"/>
      <c r="D54" s="23"/>
      <c r="E54" s="23"/>
      <c r="F54" s="23"/>
      <c r="G54" s="35"/>
      <c r="H54" s="36"/>
      <c r="I54" s="36"/>
      <c r="J54" s="35"/>
      <c r="K54" s="35"/>
      <c r="L54" s="37" t="s">
        <v>94</v>
      </c>
      <c r="M54" s="28" t="s">
        <v>131</v>
      </c>
      <c r="N54" s="37"/>
      <c r="O54" s="28" t="s">
        <v>76</v>
      </c>
      <c r="P54" s="37" t="s">
        <v>57</v>
      </c>
      <c r="Q54" s="28" t="s">
        <v>128</v>
      </c>
      <c r="R54" s="38">
        <v>35462</v>
      </c>
      <c r="S54" s="38">
        <v>37257</v>
      </c>
      <c r="T54" s="39">
        <v>60</v>
      </c>
      <c r="U54" s="40">
        <v>0</v>
      </c>
      <c r="V54" s="40">
        <v>1</v>
      </c>
      <c r="W54" s="40"/>
      <c r="X54" s="23"/>
      <c r="Y54" s="23"/>
      <c r="Z54" s="23"/>
      <c r="AA54" s="23"/>
      <c r="AB54" s="23"/>
      <c r="AC54" s="36"/>
      <c r="AD54" s="36"/>
      <c r="AE54" s="23"/>
      <c r="AF54" s="23"/>
      <c r="AG54" s="23"/>
      <c r="AH54" s="23"/>
      <c r="AI54" s="23"/>
      <c r="AJ54" s="23"/>
      <c r="AK54" s="23"/>
    </row>
    <row r="55" spans="1:37" hidden="1" x14ac:dyDescent="0.3">
      <c r="B55" s="23" t="s">
        <v>820</v>
      </c>
      <c r="C55" s="34"/>
      <c r="D55" s="23"/>
      <c r="E55" s="23"/>
      <c r="F55" s="23"/>
      <c r="G55" s="35"/>
      <c r="H55" s="36"/>
      <c r="I55" s="36"/>
      <c r="J55" s="35"/>
      <c r="K55" s="35"/>
      <c r="L55" s="37" t="s">
        <v>62</v>
      </c>
      <c r="M55" s="28" t="s">
        <v>132</v>
      </c>
      <c r="N55" s="37"/>
      <c r="O55" s="28" t="s">
        <v>85</v>
      </c>
      <c r="P55" s="37" t="s">
        <v>57</v>
      </c>
      <c r="Q55" s="28" t="s">
        <v>128</v>
      </c>
      <c r="R55" s="38">
        <v>34121</v>
      </c>
      <c r="S55" s="38">
        <v>35400</v>
      </c>
      <c r="T55" s="39">
        <v>43</v>
      </c>
      <c r="U55" s="40">
        <v>0</v>
      </c>
      <c r="V55" s="40">
        <v>0</v>
      </c>
      <c r="W55" s="40"/>
      <c r="X55" s="23"/>
      <c r="Y55" s="23"/>
      <c r="Z55" s="23"/>
      <c r="AA55" s="23"/>
      <c r="AB55" s="23"/>
      <c r="AC55" s="36"/>
      <c r="AD55" s="36"/>
      <c r="AE55" s="23"/>
      <c r="AF55" s="23"/>
      <c r="AG55" s="23"/>
      <c r="AH55" s="23"/>
      <c r="AI55" s="23"/>
      <c r="AJ55" s="23"/>
      <c r="AK55" s="23"/>
    </row>
    <row r="56" spans="1:37" ht="82.5" hidden="1" x14ac:dyDescent="0.3">
      <c r="B56" s="23" t="s">
        <v>820</v>
      </c>
      <c r="C56" s="34"/>
      <c r="D56" s="23"/>
      <c r="E56" s="23"/>
      <c r="F56" s="23"/>
      <c r="G56" s="35"/>
      <c r="H56" s="36"/>
      <c r="I56" s="36"/>
      <c r="J56" s="35"/>
      <c r="K56" s="35"/>
      <c r="L56" s="37" t="s">
        <v>62</v>
      </c>
      <c r="M56" s="28" t="s">
        <v>435</v>
      </c>
      <c r="N56" s="37"/>
      <c r="O56" s="28" t="s">
        <v>85</v>
      </c>
      <c r="P56" s="37" t="s">
        <v>133</v>
      </c>
      <c r="Q56" s="28" t="s">
        <v>130</v>
      </c>
      <c r="R56" s="38">
        <v>32964</v>
      </c>
      <c r="S56" s="38">
        <v>34090</v>
      </c>
      <c r="T56" s="39">
        <v>38</v>
      </c>
      <c r="U56" s="40">
        <v>0</v>
      </c>
      <c r="V56" s="40">
        <v>3</v>
      </c>
      <c r="W56" s="40"/>
      <c r="X56" s="23"/>
      <c r="Y56" s="23"/>
      <c r="Z56" s="23"/>
      <c r="AA56" s="23"/>
      <c r="AB56" s="23"/>
      <c r="AC56" s="36"/>
      <c r="AD56" s="36"/>
      <c r="AE56" s="23"/>
      <c r="AF56" s="23"/>
      <c r="AG56" s="23"/>
      <c r="AH56" s="23"/>
      <c r="AI56" s="23"/>
      <c r="AJ56" s="23"/>
      <c r="AK56" s="23"/>
    </row>
    <row r="57" spans="1:37" hidden="1" x14ac:dyDescent="0.3">
      <c r="B57" s="23" t="s">
        <v>820</v>
      </c>
      <c r="C57" s="34"/>
      <c r="D57" s="23"/>
      <c r="E57" s="23"/>
      <c r="F57" s="23"/>
      <c r="G57" s="35"/>
      <c r="H57" s="36"/>
      <c r="I57" s="36"/>
      <c r="J57" s="35"/>
      <c r="K57" s="35"/>
      <c r="L57" s="37" t="s">
        <v>94</v>
      </c>
      <c r="M57" s="28" t="s">
        <v>436</v>
      </c>
      <c r="N57" s="37"/>
      <c r="O57" s="28"/>
      <c r="P57" s="37" t="s">
        <v>133</v>
      </c>
      <c r="Q57" s="28" t="s">
        <v>134</v>
      </c>
      <c r="R57" s="38">
        <v>32568</v>
      </c>
      <c r="S57" s="38">
        <v>32843</v>
      </c>
      <c r="T57" s="39">
        <v>10</v>
      </c>
      <c r="U57" s="40">
        <v>0</v>
      </c>
      <c r="V57" s="40">
        <v>0</v>
      </c>
      <c r="W57" s="40"/>
      <c r="X57" s="23"/>
      <c r="Y57" s="23"/>
      <c r="Z57" s="23"/>
      <c r="AA57" s="23"/>
      <c r="AB57" s="23"/>
      <c r="AC57" s="36"/>
      <c r="AD57" s="36"/>
      <c r="AE57" s="23"/>
      <c r="AF57" s="23"/>
      <c r="AG57" s="23"/>
      <c r="AH57" s="23"/>
      <c r="AI57" s="23"/>
      <c r="AJ57" s="23"/>
      <c r="AK57" s="23"/>
    </row>
    <row r="58" spans="1:37" hidden="1" x14ac:dyDescent="0.3">
      <c r="B58" s="23"/>
      <c r="C58" s="34"/>
      <c r="D58" s="23"/>
      <c r="E58" s="23"/>
      <c r="F58" s="23"/>
      <c r="G58" s="35"/>
      <c r="H58" s="36"/>
      <c r="I58" s="36"/>
      <c r="J58" s="35"/>
      <c r="K58" s="35"/>
      <c r="L58" s="37"/>
      <c r="M58" s="28"/>
      <c r="N58" s="37"/>
      <c r="O58" s="28"/>
      <c r="P58" s="37"/>
      <c r="Q58" s="28"/>
      <c r="R58" s="38"/>
      <c r="S58" s="38"/>
      <c r="T58" s="39"/>
      <c r="U58" s="40"/>
      <c r="V58" s="40"/>
      <c r="W58" s="40"/>
      <c r="X58" s="23"/>
      <c r="Y58" s="23"/>
      <c r="Z58" s="23"/>
      <c r="AA58" s="23"/>
      <c r="AB58" s="23"/>
      <c r="AC58" s="36"/>
      <c r="AD58" s="36"/>
      <c r="AE58" s="23"/>
      <c r="AF58" s="23"/>
      <c r="AG58" s="23"/>
      <c r="AH58" s="23"/>
      <c r="AI58" s="23"/>
      <c r="AJ58" s="23"/>
      <c r="AK58" s="23"/>
    </row>
    <row r="59" spans="1:37" ht="33" x14ac:dyDescent="0.3">
      <c r="A59">
        <v>4</v>
      </c>
      <c r="B59" s="23" t="s">
        <v>829</v>
      </c>
      <c r="C59" s="34">
        <v>23110</v>
      </c>
      <c r="D59" s="23" t="s">
        <v>815</v>
      </c>
      <c r="E59" s="23" t="s">
        <v>830</v>
      </c>
      <c r="F59" s="23" t="s">
        <v>414</v>
      </c>
      <c r="G59" s="35">
        <v>32752</v>
      </c>
      <c r="H59" s="36">
        <v>33.333333333333336</v>
      </c>
      <c r="I59" s="36" t="s">
        <v>27</v>
      </c>
      <c r="J59" s="35">
        <v>44897</v>
      </c>
      <c r="K59" s="35" t="s">
        <v>813</v>
      </c>
      <c r="L59" s="37" t="s">
        <v>437</v>
      </c>
      <c r="M59" s="28" t="s">
        <v>831</v>
      </c>
      <c r="N59" s="37" t="s">
        <v>438</v>
      </c>
      <c r="O59" s="28" t="s">
        <v>417</v>
      </c>
      <c r="P59" s="37" t="s">
        <v>77</v>
      </c>
      <c r="Q59" s="28" t="s">
        <v>439</v>
      </c>
      <c r="R59" s="38">
        <v>43313</v>
      </c>
      <c r="S59" s="38">
        <v>43891</v>
      </c>
      <c r="T59" s="39">
        <v>20</v>
      </c>
      <c r="U59" s="40">
        <v>0</v>
      </c>
      <c r="V59" s="40">
        <v>1</v>
      </c>
      <c r="W59" s="23" t="s">
        <v>440</v>
      </c>
      <c r="X59" s="23">
        <v>4</v>
      </c>
      <c r="Y59" s="23">
        <v>4</v>
      </c>
      <c r="Z59" s="23"/>
      <c r="AA59" s="23" t="s">
        <v>85</v>
      </c>
      <c r="AB59" s="23" t="s">
        <v>419</v>
      </c>
      <c r="AC59" s="36">
        <v>24</v>
      </c>
      <c r="AD59" s="36">
        <v>0</v>
      </c>
      <c r="AE59" s="23">
        <v>0</v>
      </c>
      <c r="AF59" s="23">
        <v>23</v>
      </c>
      <c r="AG59" s="23">
        <v>0</v>
      </c>
      <c r="AH59" s="23">
        <v>21</v>
      </c>
      <c r="AI59" s="23">
        <v>0</v>
      </c>
      <c r="AJ59" s="36">
        <v>7.08</v>
      </c>
      <c r="AK59" s="23">
        <v>7</v>
      </c>
    </row>
    <row r="60" spans="1:37" hidden="1" x14ac:dyDescent="0.3">
      <c r="B60" s="23" t="s">
        <v>829</v>
      </c>
      <c r="C60" s="34"/>
      <c r="D60" s="23"/>
      <c r="E60" s="23"/>
      <c r="F60" s="23"/>
      <c r="G60" s="35"/>
      <c r="H60" s="36"/>
      <c r="I60" s="36"/>
      <c r="J60" s="35"/>
      <c r="K60" s="35"/>
      <c r="L60" s="37" t="s">
        <v>441</v>
      </c>
      <c r="M60" s="28" t="s">
        <v>832</v>
      </c>
      <c r="N60" s="37" t="s">
        <v>442</v>
      </c>
      <c r="O60" s="28" t="s">
        <v>833</v>
      </c>
      <c r="P60" s="37" t="s">
        <v>418</v>
      </c>
      <c r="Q60" s="28" t="s">
        <v>439</v>
      </c>
      <c r="R60" s="38">
        <v>42522</v>
      </c>
      <c r="S60" s="38">
        <v>43252</v>
      </c>
      <c r="T60" s="39">
        <v>25</v>
      </c>
      <c r="U60" s="40">
        <v>0</v>
      </c>
      <c r="V60" s="40">
        <v>13</v>
      </c>
      <c r="W60" s="40"/>
      <c r="X60" s="23"/>
      <c r="Y60" s="23"/>
      <c r="Z60" s="23"/>
      <c r="AA60" s="23"/>
      <c r="AB60" s="23"/>
      <c r="AC60" s="36"/>
      <c r="AD60" s="36"/>
      <c r="AE60" s="23"/>
      <c r="AF60" s="23"/>
      <c r="AG60" s="23"/>
      <c r="AH60" s="23"/>
      <c r="AI60" s="23"/>
      <c r="AJ60" s="23"/>
      <c r="AK60" s="23"/>
    </row>
    <row r="61" spans="1:37" hidden="1" x14ac:dyDescent="0.3">
      <c r="B61" s="23" t="s">
        <v>829</v>
      </c>
      <c r="C61" s="34"/>
      <c r="D61" s="23"/>
      <c r="E61" s="23"/>
      <c r="F61" s="23"/>
      <c r="G61" s="35"/>
      <c r="H61" s="36"/>
      <c r="I61" s="36"/>
      <c r="J61" s="35"/>
      <c r="K61" s="35"/>
      <c r="L61" s="37" t="s">
        <v>443</v>
      </c>
      <c r="M61" s="28" t="s">
        <v>444</v>
      </c>
      <c r="N61" s="37"/>
      <c r="O61" s="28" t="s">
        <v>417</v>
      </c>
      <c r="P61" s="37" t="s">
        <v>445</v>
      </c>
      <c r="Q61" s="28" t="s">
        <v>139</v>
      </c>
      <c r="R61" s="38">
        <v>42036</v>
      </c>
      <c r="S61" s="38">
        <v>42095</v>
      </c>
      <c r="T61" s="39">
        <v>3</v>
      </c>
      <c r="U61" s="40">
        <v>0</v>
      </c>
      <c r="V61" s="40">
        <v>2</v>
      </c>
      <c r="W61" s="40"/>
      <c r="X61" s="23"/>
      <c r="Y61" s="23"/>
      <c r="Z61" s="23"/>
      <c r="AA61" s="23"/>
      <c r="AB61" s="23"/>
      <c r="AC61" s="36"/>
      <c r="AD61" s="36"/>
      <c r="AE61" s="23"/>
      <c r="AF61" s="23"/>
      <c r="AG61" s="23"/>
      <c r="AH61" s="23"/>
      <c r="AI61" s="23"/>
      <c r="AJ61" s="23"/>
      <c r="AK61" s="23"/>
    </row>
    <row r="62" spans="1:37" ht="33" hidden="1" x14ac:dyDescent="0.3">
      <c r="B62" s="23" t="s">
        <v>834</v>
      </c>
      <c r="C62" s="34"/>
      <c r="D62" s="23"/>
      <c r="E62" s="23"/>
      <c r="F62" s="23"/>
      <c r="G62" s="35"/>
      <c r="H62" s="36"/>
      <c r="I62" s="36"/>
      <c r="J62" s="35"/>
      <c r="K62" s="35"/>
      <c r="L62" s="37" t="s">
        <v>446</v>
      </c>
      <c r="M62" s="28" t="s">
        <v>447</v>
      </c>
      <c r="N62" s="37" t="s">
        <v>433</v>
      </c>
      <c r="O62" s="28" t="s">
        <v>417</v>
      </c>
      <c r="P62" s="37" t="s">
        <v>418</v>
      </c>
      <c r="Q62" s="28" t="s">
        <v>143</v>
      </c>
      <c r="R62" s="38">
        <v>41275</v>
      </c>
      <c r="S62" s="38">
        <v>41944</v>
      </c>
      <c r="T62" s="39">
        <v>23</v>
      </c>
      <c r="U62" s="40">
        <v>0</v>
      </c>
      <c r="V62" s="40">
        <v>6</v>
      </c>
      <c r="W62" s="40"/>
      <c r="X62" s="23"/>
      <c r="Y62" s="23"/>
      <c r="Z62" s="23"/>
      <c r="AA62" s="23"/>
      <c r="AB62" s="23"/>
      <c r="AC62" s="36"/>
      <c r="AD62" s="36"/>
      <c r="AE62" s="23"/>
      <c r="AF62" s="23"/>
      <c r="AG62" s="23"/>
      <c r="AH62" s="23"/>
      <c r="AI62" s="23"/>
      <c r="AJ62" s="23"/>
      <c r="AK62" s="23"/>
    </row>
    <row r="63" spans="1:37" ht="33" hidden="1" x14ac:dyDescent="0.3">
      <c r="B63" s="23" t="s">
        <v>829</v>
      </c>
      <c r="C63" s="34"/>
      <c r="D63" s="23"/>
      <c r="E63" s="23"/>
      <c r="F63" s="23"/>
      <c r="G63" s="35"/>
      <c r="H63" s="36"/>
      <c r="I63" s="36"/>
      <c r="J63" s="35"/>
      <c r="K63" s="35"/>
      <c r="L63" s="37" t="s">
        <v>420</v>
      </c>
      <c r="M63" s="28" t="s">
        <v>448</v>
      </c>
      <c r="N63" s="37"/>
      <c r="O63" s="28" t="s">
        <v>76</v>
      </c>
      <c r="P63" s="37" t="s">
        <v>449</v>
      </c>
      <c r="Q63" s="28" t="s">
        <v>450</v>
      </c>
      <c r="R63" s="38">
        <v>40695</v>
      </c>
      <c r="S63" s="38">
        <v>41061</v>
      </c>
      <c r="T63" s="39">
        <v>13</v>
      </c>
      <c r="U63" s="40">
        <v>0</v>
      </c>
      <c r="V63" s="40">
        <v>0</v>
      </c>
      <c r="W63" s="40"/>
      <c r="X63" s="23"/>
      <c r="Y63" s="23"/>
      <c r="Z63" s="23"/>
      <c r="AA63" s="23"/>
      <c r="AB63" s="23"/>
      <c r="AC63" s="36"/>
      <c r="AD63" s="36"/>
      <c r="AE63" s="23"/>
      <c r="AF63" s="23"/>
      <c r="AG63" s="23"/>
      <c r="AH63" s="23"/>
      <c r="AI63" s="23"/>
      <c r="AJ63" s="23"/>
      <c r="AK63" s="23"/>
    </row>
    <row r="64" spans="1:37" ht="33" hidden="1" x14ac:dyDescent="0.3">
      <c r="B64" s="23" t="s">
        <v>829</v>
      </c>
      <c r="C64" s="34"/>
      <c r="D64" s="23"/>
      <c r="E64" s="23"/>
      <c r="F64" s="23"/>
      <c r="G64" s="35"/>
      <c r="H64" s="36"/>
      <c r="I64" s="36"/>
      <c r="J64" s="35"/>
      <c r="K64" s="35"/>
      <c r="L64" s="37" t="s">
        <v>125</v>
      </c>
      <c r="M64" s="28" t="s">
        <v>451</v>
      </c>
      <c r="N64" s="37" t="s">
        <v>137</v>
      </c>
      <c r="O64" s="28" t="s">
        <v>417</v>
      </c>
      <c r="P64" s="37" t="s">
        <v>140</v>
      </c>
      <c r="Q64" s="28" t="s">
        <v>143</v>
      </c>
      <c r="R64" s="38">
        <v>40544</v>
      </c>
      <c r="S64" s="38">
        <v>40664</v>
      </c>
      <c r="T64" s="39">
        <v>5</v>
      </c>
      <c r="U64" s="40">
        <v>0</v>
      </c>
      <c r="V64" s="40">
        <v>0</v>
      </c>
      <c r="W64" s="40"/>
      <c r="X64" s="23"/>
      <c r="Y64" s="23"/>
      <c r="Z64" s="23"/>
      <c r="AA64" s="23"/>
      <c r="AB64" s="23"/>
      <c r="AC64" s="36"/>
      <c r="AD64" s="36"/>
      <c r="AE64" s="23"/>
      <c r="AF64" s="23"/>
      <c r="AG64" s="23"/>
      <c r="AH64" s="23"/>
      <c r="AI64" s="23"/>
      <c r="AJ64" s="23"/>
      <c r="AK64" s="23"/>
    </row>
    <row r="65" spans="2:37" ht="33" hidden="1" x14ac:dyDescent="0.3">
      <c r="B65" s="23" t="s">
        <v>829</v>
      </c>
      <c r="C65" s="34"/>
      <c r="D65" s="23"/>
      <c r="E65" s="23"/>
      <c r="F65" s="23"/>
      <c r="G65" s="35"/>
      <c r="H65" s="36"/>
      <c r="I65" s="36"/>
      <c r="J65" s="35"/>
      <c r="K65" s="35"/>
      <c r="L65" s="37" t="s">
        <v>443</v>
      </c>
      <c r="M65" s="28" t="s">
        <v>452</v>
      </c>
      <c r="N65" s="37"/>
      <c r="O65" s="28" t="s">
        <v>76</v>
      </c>
      <c r="P65" s="37" t="s">
        <v>418</v>
      </c>
      <c r="Q65" s="28" t="s">
        <v>450</v>
      </c>
      <c r="R65" s="38">
        <v>40452</v>
      </c>
      <c r="S65" s="38">
        <v>40513</v>
      </c>
      <c r="T65" s="39">
        <v>3</v>
      </c>
      <c r="U65" s="40">
        <v>0</v>
      </c>
      <c r="V65" s="40">
        <v>6</v>
      </c>
      <c r="W65" s="40"/>
      <c r="X65" s="23"/>
      <c r="Y65" s="23"/>
      <c r="Z65" s="23"/>
      <c r="AA65" s="23"/>
      <c r="AB65" s="23"/>
      <c r="AC65" s="36"/>
      <c r="AD65" s="36"/>
      <c r="AE65" s="23"/>
      <c r="AF65" s="23"/>
      <c r="AG65" s="23"/>
      <c r="AH65" s="23"/>
      <c r="AI65" s="23"/>
      <c r="AJ65" s="23"/>
      <c r="AK65" s="23"/>
    </row>
    <row r="66" spans="2:37" hidden="1" x14ac:dyDescent="0.3">
      <c r="B66" s="23" t="s">
        <v>834</v>
      </c>
      <c r="C66" s="34"/>
      <c r="D66" s="23"/>
      <c r="E66" s="23"/>
      <c r="F66" s="23"/>
      <c r="G66" s="35"/>
      <c r="H66" s="36"/>
      <c r="I66" s="36"/>
      <c r="J66" s="35"/>
      <c r="K66" s="35"/>
      <c r="L66" s="37" t="s">
        <v>62</v>
      </c>
      <c r="M66" s="28" t="s">
        <v>138</v>
      </c>
      <c r="N66" s="37"/>
      <c r="O66" s="28" t="s">
        <v>417</v>
      </c>
      <c r="P66" s="37" t="s">
        <v>100</v>
      </c>
      <c r="Q66" s="28" t="s">
        <v>439</v>
      </c>
      <c r="R66" s="38">
        <v>39873</v>
      </c>
      <c r="S66" s="38">
        <v>40238</v>
      </c>
      <c r="T66" s="39">
        <v>13</v>
      </c>
      <c r="U66" s="40">
        <v>0</v>
      </c>
      <c r="V66" s="40">
        <v>1</v>
      </c>
      <c r="W66" s="40"/>
      <c r="X66" s="23"/>
      <c r="Y66" s="23"/>
      <c r="Z66" s="23"/>
      <c r="AA66" s="23"/>
      <c r="AB66" s="23"/>
      <c r="AC66" s="36"/>
      <c r="AD66" s="36"/>
      <c r="AE66" s="23"/>
      <c r="AF66" s="23"/>
      <c r="AG66" s="23"/>
      <c r="AH66" s="23"/>
      <c r="AI66" s="23"/>
      <c r="AJ66" s="23"/>
      <c r="AK66" s="23"/>
    </row>
    <row r="67" spans="2:37" ht="33" hidden="1" x14ac:dyDescent="0.3">
      <c r="B67" s="23" t="s">
        <v>829</v>
      </c>
      <c r="C67" s="34"/>
      <c r="D67" s="23"/>
      <c r="E67" s="23"/>
      <c r="F67" s="23"/>
      <c r="G67" s="35"/>
      <c r="H67" s="36"/>
      <c r="I67" s="36"/>
      <c r="J67" s="35"/>
      <c r="K67" s="35"/>
      <c r="L67" s="37" t="s">
        <v>62</v>
      </c>
      <c r="M67" s="28" t="s">
        <v>453</v>
      </c>
      <c r="N67" s="37"/>
      <c r="O67" s="28" t="s">
        <v>96</v>
      </c>
      <c r="P67" s="37" t="s">
        <v>77</v>
      </c>
      <c r="Q67" s="28" t="s">
        <v>135</v>
      </c>
      <c r="R67" s="38">
        <v>39569</v>
      </c>
      <c r="S67" s="38">
        <v>39814</v>
      </c>
      <c r="T67" s="39">
        <v>9</v>
      </c>
      <c r="U67" s="40">
        <v>0</v>
      </c>
      <c r="V67" s="40">
        <v>0</v>
      </c>
      <c r="W67" s="40"/>
      <c r="X67" s="23"/>
      <c r="Y67" s="23"/>
      <c r="Z67" s="23"/>
      <c r="AA67" s="23"/>
      <c r="AB67" s="23"/>
      <c r="AC67" s="36"/>
      <c r="AD67" s="36"/>
      <c r="AE67" s="23"/>
      <c r="AF67" s="23"/>
      <c r="AG67" s="23"/>
      <c r="AH67" s="23"/>
      <c r="AI67" s="23"/>
      <c r="AJ67" s="23"/>
      <c r="AK67" s="23"/>
    </row>
    <row r="68" spans="2:37" ht="33" hidden="1" x14ac:dyDescent="0.3">
      <c r="B68" s="23" t="s">
        <v>829</v>
      </c>
      <c r="C68" s="34"/>
      <c r="D68" s="23"/>
      <c r="E68" s="23"/>
      <c r="F68" s="23"/>
      <c r="G68" s="35"/>
      <c r="H68" s="36"/>
      <c r="I68" s="36"/>
      <c r="J68" s="35"/>
      <c r="K68" s="35"/>
      <c r="L68" s="37" t="s">
        <v>62</v>
      </c>
      <c r="M68" s="28" t="s">
        <v>454</v>
      </c>
      <c r="N68" s="37"/>
      <c r="O68" s="28" t="s">
        <v>417</v>
      </c>
      <c r="P68" s="37" t="s">
        <v>418</v>
      </c>
      <c r="Q68" s="28" t="s">
        <v>139</v>
      </c>
      <c r="R68" s="38">
        <v>38718</v>
      </c>
      <c r="S68" s="38">
        <v>39539</v>
      </c>
      <c r="T68" s="39">
        <v>28</v>
      </c>
      <c r="U68" s="40">
        <v>0</v>
      </c>
      <c r="V68" s="40">
        <v>0</v>
      </c>
      <c r="W68" s="40"/>
      <c r="X68" s="23"/>
      <c r="Y68" s="23"/>
      <c r="Z68" s="23"/>
      <c r="AA68" s="23"/>
      <c r="AB68" s="23"/>
      <c r="AC68" s="36"/>
      <c r="AD68" s="36"/>
      <c r="AE68" s="23"/>
      <c r="AF68" s="23"/>
      <c r="AG68" s="23"/>
      <c r="AH68" s="23"/>
      <c r="AI68" s="23"/>
      <c r="AJ68" s="23"/>
      <c r="AK68" s="23"/>
    </row>
    <row r="69" spans="2:37" ht="33" hidden="1" x14ac:dyDescent="0.3">
      <c r="B69" s="23" t="s">
        <v>829</v>
      </c>
      <c r="C69" s="34"/>
      <c r="D69" s="23"/>
      <c r="E69" s="23"/>
      <c r="F69" s="23"/>
      <c r="G69" s="35"/>
      <c r="H69" s="36"/>
      <c r="I69" s="36"/>
      <c r="J69" s="35"/>
      <c r="K69" s="35"/>
      <c r="L69" s="37" t="s">
        <v>420</v>
      </c>
      <c r="M69" s="28" t="s">
        <v>455</v>
      </c>
      <c r="N69" s="37"/>
      <c r="O69" s="28" t="s">
        <v>76</v>
      </c>
      <c r="P69" s="37" t="s">
        <v>456</v>
      </c>
      <c r="Q69" s="28" t="s">
        <v>439</v>
      </c>
      <c r="R69" s="38">
        <v>38139</v>
      </c>
      <c r="S69" s="38">
        <v>38687</v>
      </c>
      <c r="T69" s="39">
        <v>19</v>
      </c>
      <c r="U69" s="40">
        <v>0</v>
      </c>
      <c r="V69" s="40">
        <v>0</v>
      </c>
      <c r="W69" s="40"/>
      <c r="X69" s="23"/>
      <c r="Y69" s="23"/>
      <c r="Z69" s="23"/>
      <c r="AA69" s="23"/>
      <c r="AB69" s="23"/>
      <c r="AC69" s="36"/>
      <c r="AD69" s="36"/>
      <c r="AE69" s="23"/>
      <c r="AF69" s="23"/>
      <c r="AG69" s="23"/>
      <c r="AH69" s="23"/>
      <c r="AI69" s="23"/>
      <c r="AJ69" s="23"/>
      <c r="AK69" s="23"/>
    </row>
    <row r="70" spans="2:37" ht="33" hidden="1" x14ac:dyDescent="0.3">
      <c r="B70" s="23" t="s">
        <v>829</v>
      </c>
      <c r="C70" s="34"/>
      <c r="D70" s="23"/>
      <c r="E70" s="23"/>
      <c r="F70" s="23"/>
      <c r="G70" s="35"/>
      <c r="H70" s="36"/>
      <c r="I70" s="36"/>
      <c r="J70" s="35"/>
      <c r="K70" s="35"/>
      <c r="L70" s="37" t="s">
        <v>62</v>
      </c>
      <c r="M70" s="28" t="s">
        <v>457</v>
      </c>
      <c r="N70" s="37"/>
      <c r="O70" s="28" t="s">
        <v>76</v>
      </c>
      <c r="P70" s="37" t="s">
        <v>445</v>
      </c>
      <c r="Q70" s="28" t="s">
        <v>143</v>
      </c>
      <c r="R70" s="38">
        <v>37773</v>
      </c>
      <c r="S70" s="38">
        <v>38108</v>
      </c>
      <c r="T70" s="39">
        <v>12</v>
      </c>
      <c r="U70" s="40">
        <v>0</v>
      </c>
      <c r="V70" s="40">
        <v>1</v>
      </c>
      <c r="W70" s="40"/>
      <c r="X70" s="23"/>
      <c r="Y70" s="23"/>
      <c r="Z70" s="23"/>
      <c r="AA70" s="23"/>
      <c r="AB70" s="23"/>
      <c r="AC70" s="36"/>
      <c r="AD70" s="36"/>
      <c r="AE70" s="23"/>
      <c r="AF70" s="23"/>
      <c r="AG70" s="23"/>
      <c r="AH70" s="23"/>
      <c r="AI70" s="23"/>
      <c r="AJ70" s="23"/>
      <c r="AK70" s="23"/>
    </row>
    <row r="71" spans="2:37" hidden="1" x14ac:dyDescent="0.3">
      <c r="B71" s="23" t="s">
        <v>829</v>
      </c>
      <c r="C71" s="34"/>
      <c r="D71" s="23"/>
      <c r="E71" s="23"/>
      <c r="F71" s="23"/>
      <c r="G71" s="35"/>
      <c r="H71" s="36"/>
      <c r="I71" s="36"/>
      <c r="J71" s="35"/>
      <c r="K71" s="35"/>
      <c r="L71" s="37" t="s">
        <v>420</v>
      </c>
      <c r="M71" s="28" t="s">
        <v>458</v>
      </c>
      <c r="N71" s="37"/>
      <c r="O71" s="28" t="s">
        <v>835</v>
      </c>
      <c r="P71" s="37" t="s">
        <v>445</v>
      </c>
      <c r="Q71" s="28" t="s">
        <v>141</v>
      </c>
      <c r="R71" s="38">
        <v>37408</v>
      </c>
      <c r="S71" s="38">
        <v>37712</v>
      </c>
      <c r="T71" s="39">
        <v>11</v>
      </c>
      <c r="U71" s="40">
        <v>0</v>
      </c>
      <c r="V71" s="40">
        <v>1</v>
      </c>
      <c r="W71" s="40"/>
      <c r="X71" s="23"/>
      <c r="Y71" s="23"/>
      <c r="Z71" s="23"/>
      <c r="AA71" s="23"/>
      <c r="AB71" s="23"/>
      <c r="AC71" s="36"/>
      <c r="AD71" s="36"/>
      <c r="AE71" s="23"/>
      <c r="AF71" s="23"/>
      <c r="AG71" s="23"/>
      <c r="AH71" s="23"/>
      <c r="AI71" s="23"/>
      <c r="AJ71" s="23"/>
      <c r="AK71" s="23"/>
    </row>
    <row r="72" spans="2:37" hidden="1" x14ac:dyDescent="0.3">
      <c r="B72" s="23" t="s">
        <v>829</v>
      </c>
      <c r="C72" s="34"/>
      <c r="D72" s="23"/>
      <c r="E72" s="23"/>
      <c r="F72" s="23"/>
      <c r="G72" s="35"/>
      <c r="H72" s="36"/>
      <c r="I72" s="36"/>
      <c r="J72" s="35"/>
      <c r="K72" s="35"/>
      <c r="L72" s="37" t="s">
        <v>420</v>
      </c>
      <c r="M72" s="28" t="s">
        <v>459</v>
      </c>
      <c r="N72" s="37"/>
      <c r="O72" s="28" t="s">
        <v>417</v>
      </c>
      <c r="P72" s="37" t="s">
        <v>445</v>
      </c>
      <c r="Q72" s="28" t="s">
        <v>439</v>
      </c>
      <c r="R72" s="38">
        <v>37165</v>
      </c>
      <c r="S72" s="38">
        <v>37347</v>
      </c>
      <c r="T72" s="39">
        <v>7</v>
      </c>
      <c r="U72" s="40">
        <v>0</v>
      </c>
      <c r="V72" s="40">
        <v>0</v>
      </c>
      <c r="W72" s="40"/>
      <c r="X72" s="23"/>
      <c r="Y72" s="23"/>
      <c r="Z72" s="23"/>
      <c r="AA72" s="23"/>
      <c r="AB72" s="23"/>
      <c r="AC72" s="36"/>
      <c r="AD72" s="36"/>
      <c r="AE72" s="23"/>
      <c r="AF72" s="23"/>
      <c r="AG72" s="23"/>
      <c r="AH72" s="23"/>
      <c r="AI72" s="23"/>
      <c r="AJ72" s="23"/>
      <c r="AK72" s="23"/>
    </row>
    <row r="73" spans="2:37" ht="33" hidden="1" x14ac:dyDescent="0.3">
      <c r="B73" s="23" t="s">
        <v>829</v>
      </c>
      <c r="C73" s="34"/>
      <c r="D73" s="23"/>
      <c r="E73" s="23"/>
      <c r="F73" s="23"/>
      <c r="G73" s="35"/>
      <c r="H73" s="36"/>
      <c r="I73" s="36"/>
      <c r="J73" s="35"/>
      <c r="K73" s="35"/>
      <c r="L73" s="37" t="s">
        <v>446</v>
      </c>
      <c r="M73" s="28" t="s">
        <v>142</v>
      </c>
      <c r="N73" s="37"/>
      <c r="O73" s="28" t="s">
        <v>417</v>
      </c>
      <c r="P73" s="37" t="s">
        <v>460</v>
      </c>
      <c r="Q73" s="28" t="s">
        <v>450</v>
      </c>
      <c r="R73" s="38">
        <v>36982</v>
      </c>
      <c r="S73" s="38">
        <v>37135</v>
      </c>
      <c r="T73" s="39">
        <v>6</v>
      </c>
      <c r="U73" s="40">
        <v>0</v>
      </c>
      <c r="V73" s="40">
        <v>0</v>
      </c>
      <c r="W73" s="40"/>
      <c r="X73" s="23"/>
      <c r="Y73" s="23"/>
      <c r="Z73" s="23"/>
      <c r="AA73" s="23"/>
      <c r="AB73" s="23"/>
      <c r="AC73" s="36"/>
      <c r="AD73" s="36"/>
      <c r="AE73" s="23"/>
      <c r="AF73" s="23"/>
      <c r="AG73" s="23"/>
      <c r="AH73" s="23"/>
      <c r="AI73" s="23"/>
      <c r="AJ73" s="23"/>
      <c r="AK73" s="23"/>
    </row>
    <row r="74" spans="2:37" hidden="1" x14ac:dyDescent="0.3">
      <c r="B74" s="23" t="s">
        <v>829</v>
      </c>
      <c r="C74" s="34"/>
      <c r="D74" s="23"/>
      <c r="E74" s="23"/>
      <c r="F74" s="23"/>
      <c r="G74" s="35"/>
      <c r="H74" s="36"/>
      <c r="I74" s="36"/>
      <c r="J74" s="35"/>
      <c r="K74" s="35"/>
      <c r="L74" s="37" t="s">
        <v>420</v>
      </c>
      <c r="M74" s="28" t="s">
        <v>461</v>
      </c>
      <c r="N74" s="37"/>
      <c r="O74" s="28" t="s">
        <v>462</v>
      </c>
      <c r="P74" s="37" t="s">
        <v>463</v>
      </c>
      <c r="Q74" s="28" t="s">
        <v>141</v>
      </c>
      <c r="R74" s="38">
        <v>36708</v>
      </c>
      <c r="S74" s="38">
        <v>36951</v>
      </c>
      <c r="T74" s="39">
        <v>9</v>
      </c>
      <c r="U74" s="40">
        <v>0</v>
      </c>
      <c r="V74" s="40">
        <v>0</v>
      </c>
      <c r="W74" s="40"/>
      <c r="X74" s="23"/>
      <c r="Y74" s="23"/>
      <c r="Z74" s="23"/>
      <c r="AA74" s="23"/>
      <c r="AB74" s="23"/>
      <c r="AC74" s="36"/>
      <c r="AD74" s="36"/>
      <c r="AE74" s="23"/>
      <c r="AF74" s="23"/>
      <c r="AG74" s="23"/>
      <c r="AH74" s="23"/>
      <c r="AI74" s="23"/>
      <c r="AJ74" s="23"/>
      <c r="AK74" s="23"/>
    </row>
    <row r="75" spans="2:37" ht="33" hidden="1" x14ac:dyDescent="0.3">
      <c r="B75" s="23" t="s">
        <v>829</v>
      </c>
      <c r="C75" s="34"/>
      <c r="D75" s="23"/>
      <c r="E75" s="23"/>
      <c r="F75" s="23"/>
      <c r="G75" s="35"/>
      <c r="H75" s="36"/>
      <c r="I75" s="36"/>
      <c r="J75" s="35"/>
      <c r="K75" s="35"/>
      <c r="L75" s="37" t="s">
        <v>420</v>
      </c>
      <c r="M75" s="28" t="s">
        <v>464</v>
      </c>
      <c r="N75" s="37"/>
      <c r="O75" s="28" t="s">
        <v>462</v>
      </c>
      <c r="P75" s="37" t="s">
        <v>418</v>
      </c>
      <c r="Q75" s="28" t="s">
        <v>143</v>
      </c>
      <c r="R75" s="38">
        <v>36220</v>
      </c>
      <c r="S75" s="38">
        <v>36678</v>
      </c>
      <c r="T75" s="39">
        <v>16</v>
      </c>
      <c r="U75" s="40">
        <v>0</v>
      </c>
      <c r="V75" s="40">
        <v>0</v>
      </c>
      <c r="W75" s="40"/>
      <c r="X75" s="23"/>
      <c r="Y75" s="23"/>
      <c r="Z75" s="23"/>
      <c r="AA75" s="23"/>
      <c r="AB75" s="23"/>
      <c r="AC75" s="36"/>
      <c r="AD75" s="36"/>
      <c r="AE75" s="23"/>
      <c r="AF75" s="23"/>
      <c r="AG75" s="23"/>
      <c r="AH75" s="23"/>
      <c r="AI75" s="23"/>
      <c r="AJ75" s="23"/>
      <c r="AK75" s="23"/>
    </row>
    <row r="76" spans="2:37" ht="33" hidden="1" x14ac:dyDescent="0.3">
      <c r="B76" s="23" t="s">
        <v>829</v>
      </c>
      <c r="C76" s="34"/>
      <c r="D76" s="23"/>
      <c r="E76" s="23"/>
      <c r="F76" s="23"/>
      <c r="G76" s="35"/>
      <c r="H76" s="36"/>
      <c r="I76" s="36"/>
      <c r="J76" s="35"/>
      <c r="K76" s="35"/>
      <c r="L76" s="37" t="s">
        <v>420</v>
      </c>
      <c r="M76" s="28" t="s">
        <v>465</v>
      </c>
      <c r="N76" s="37"/>
      <c r="O76" s="28" t="s">
        <v>417</v>
      </c>
      <c r="P76" s="37" t="s">
        <v>57</v>
      </c>
      <c r="Q76" s="28" t="s">
        <v>143</v>
      </c>
      <c r="R76" s="38">
        <v>35827</v>
      </c>
      <c r="S76" s="38">
        <v>36192</v>
      </c>
      <c r="T76" s="39">
        <v>13</v>
      </c>
      <c r="U76" s="40">
        <v>0</v>
      </c>
      <c r="V76" s="40">
        <v>0</v>
      </c>
      <c r="W76" s="40"/>
      <c r="X76" s="23"/>
      <c r="Y76" s="23"/>
      <c r="Z76" s="23"/>
      <c r="AA76" s="23"/>
      <c r="AB76" s="23"/>
      <c r="AC76" s="36"/>
      <c r="AD76" s="36"/>
      <c r="AE76" s="23"/>
      <c r="AF76" s="23"/>
      <c r="AG76" s="23"/>
      <c r="AH76" s="23"/>
      <c r="AI76" s="23"/>
      <c r="AJ76" s="23"/>
      <c r="AK76" s="23"/>
    </row>
    <row r="77" spans="2:37" hidden="1" x14ac:dyDescent="0.3">
      <c r="B77" s="23" t="s">
        <v>829</v>
      </c>
      <c r="C77" s="34"/>
      <c r="D77" s="23"/>
      <c r="E77" s="23"/>
      <c r="F77" s="23"/>
      <c r="G77" s="35"/>
      <c r="H77" s="36"/>
      <c r="I77" s="36"/>
      <c r="J77" s="35"/>
      <c r="K77" s="35"/>
      <c r="L77" s="37" t="s">
        <v>420</v>
      </c>
      <c r="M77" s="28" t="s">
        <v>466</v>
      </c>
      <c r="N77" s="37"/>
      <c r="O77" s="28" t="s">
        <v>417</v>
      </c>
      <c r="P77" s="37" t="s">
        <v>467</v>
      </c>
      <c r="Q77" s="28" t="s">
        <v>439</v>
      </c>
      <c r="R77" s="38">
        <v>35521</v>
      </c>
      <c r="S77" s="38">
        <v>35796</v>
      </c>
      <c r="T77" s="39">
        <v>10</v>
      </c>
      <c r="U77" s="40">
        <v>0</v>
      </c>
      <c r="V77" s="40">
        <v>4</v>
      </c>
      <c r="W77" s="40"/>
      <c r="X77" s="23"/>
      <c r="Y77" s="23"/>
      <c r="Z77" s="23"/>
      <c r="AA77" s="23"/>
      <c r="AB77" s="23"/>
      <c r="AC77" s="36"/>
      <c r="AD77" s="36"/>
      <c r="AE77" s="23"/>
      <c r="AF77" s="23"/>
      <c r="AG77" s="23"/>
      <c r="AH77" s="23"/>
      <c r="AI77" s="23"/>
      <c r="AJ77" s="23"/>
      <c r="AK77" s="23"/>
    </row>
    <row r="78" spans="2:37" hidden="1" x14ac:dyDescent="0.3">
      <c r="B78" s="23" t="s">
        <v>829</v>
      </c>
      <c r="C78" s="34"/>
      <c r="D78" s="23"/>
      <c r="E78" s="23"/>
      <c r="F78" s="23"/>
      <c r="G78" s="35"/>
      <c r="H78" s="36"/>
      <c r="I78" s="36"/>
      <c r="J78" s="35"/>
      <c r="K78" s="35"/>
      <c r="L78" s="37" t="s">
        <v>420</v>
      </c>
      <c r="M78" s="28" t="s">
        <v>468</v>
      </c>
      <c r="N78" s="37"/>
      <c r="O78" s="28" t="s">
        <v>417</v>
      </c>
      <c r="P78" s="37" t="s">
        <v>445</v>
      </c>
      <c r="Q78" s="28" t="s">
        <v>439</v>
      </c>
      <c r="R78" s="38">
        <v>35125</v>
      </c>
      <c r="S78" s="38">
        <v>35370</v>
      </c>
      <c r="T78" s="39">
        <v>9</v>
      </c>
      <c r="U78" s="40">
        <v>0</v>
      </c>
      <c r="V78" s="40">
        <v>0</v>
      </c>
      <c r="W78" s="40"/>
      <c r="X78" s="23"/>
      <c r="Y78" s="23"/>
      <c r="Z78" s="23"/>
      <c r="AA78" s="23"/>
      <c r="AB78" s="23"/>
      <c r="AC78" s="36"/>
      <c r="AD78" s="36"/>
      <c r="AE78" s="23"/>
      <c r="AF78" s="23"/>
      <c r="AG78" s="23"/>
      <c r="AH78" s="23"/>
      <c r="AI78" s="23"/>
      <c r="AJ78" s="23"/>
      <c r="AK78" s="23"/>
    </row>
    <row r="79" spans="2:37" ht="33" hidden="1" x14ac:dyDescent="0.3">
      <c r="B79" s="23" t="s">
        <v>834</v>
      </c>
      <c r="C79" s="34"/>
      <c r="D79" s="23"/>
      <c r="E79" s="23"/>
      <c r="F79" s="23"/>
      <c r="G79" s="35"/>
      <c r="H79" s="36"/>
      <c r="I79" s="36"/>
      <c r="J79" s="35"/>
      <c r="K79" s="35"/>
      <c r="L79" s="37" t="s">
        <v>420</v>
      </c>
      <c r="M79" s="28" t="s">
        <v>469</v>
      </c>
      <c r="N79" s="37"/>
      <c r="O79" s="28" t="s">
        <v>417</v>
      </c>
      <c r="P79" s="37" t="s">
        <v>445</v>
      </c>
      <c r="Q79" s="28" t="s">
        <v>470</v>
      </c>
      <c r="R79" s="38">
        <v>34851</v>
      </c>
      <c r="S79" s="38">
        <v>35096</v>
      </c>
      <c r="T79" s="39">
        <v>9</v>
      </c>
      <c r="U79" s="40">
        <v>0</v>
      </c>
      <c r="V79" s="40">
        <v>0</v>
      </c>
      <c r="W79" s="40"/>
      <c r="X79" s="23"/>
      <c r="Y79" s="23"/>
      <c r="Z79" s="23"/>
      <c r="AA79" s="23"/>
      <c r="AB79" s="23"/>
      <c r="AC79" s="36"/>
      <c r="AD79" s="36"/>
      <c r="AE79" s="23"/>
      <c r="AF79" s="23"/>
      <c r="AG79" s="23"/>
      <c r="AH79" s="23"/>
      <c r="AI79" s="23"/>
      <c r="AJ79" s="23"/>
      <c r="AK79" s="23"/>
    </row>
    <row r="80" spans="2:37" hidden="1" x14ac:dyDescent="0.3">
      <c r="B80" s="23" t="s">
        <v>829</v>
      </c>
      <c r="C80" s="34"/>
      <c r="D80" s="23"/>
      <c r="E80" s="23"/>
      <c r="F80" s="23"/>
      <c r="G80" s="35"/>
      <c r="H80" s="36"/>
      <c r="I80" s="36"/>
      <c r="J80" s="35"/>
      <c r="K80" s="35"/>
      <c r="L80" s="37" t="s">
        <v>420</v>
      </c>
      <c r="M80" s="28" t="s">
        <v>471</v>
      </c>
      <c r="N80" s="37"/>
      <c r="O80" s="28" t="s">
        <v>417</v>
      </c>
      <c r="P80" s="37" t="s">
        <v>140</v>
      </c>
      <c r="Q80" s="28" t="s">
        <v>141</v>
      </c>
      <c r="R80" s="38">
        <v>34608</v>
      </c>
      <c r="S80" s="38">
        <v>34820</v>
      </c>
      <c r="T80" s="39">
        <v>8</v>
      </c>
      <c r="U80" s="40">
        <v>0</v>
      </c>
      <c r="V80" s="40">
        <v>12</v>
      </c>
      <c r="W80" s="40"/>
      <c r="X80" s="23"/>
      <c r="Y80" s="23"/>
      <c r="Z80" s="23"/>
      <c r="AA80" s="23"/>
      <c r="AB80" s="23"/>
      <c r="AC80" s="36"/>
      <c r="AD80" s="36"/>
      <c r="AE80" s="23"/>
      <c r="AF80" s="23"/>
      <c r="AG80" s="23"/>
      <c r="AH80" s="23"/>
      <c r="AI80" s="23"/>
      <c r="AJ80" s="23"/>
      <c r="AK80" s="23"/>
    </row>
    <row r="81" spans="1:37" ht="33" hidden="1" x14ac:dyDescent="0.3">
      <c r="B81" s="23" t="s">
        <v>829</v>
      </c>
      <c r="C81" s="34"/>
      <c r="D81" s="23"/>
      <c r="E81" s="23"/>
      <c r="F81" s="23"/>
      <c r="G81" s="35"/>
      <c r="H81" s="36"/>
      <c r="I81" s="36"/>
      <c r="J81" s="35"/>
      <c r="K81" s="35"/>
      <c r="L81" s="37" t="s">
        <v>420</v>
      </c>
      <c r="M81" s="28" t="s">
        <v>472</v>
      </c>
      <c r="N81" s="37"/>
      <c r="O81" s="28" t="s">
        <v>417</v>
      </c>
      <c r="P81" s="37" t="s">
        <v>77</v>
      </c>
      <c r="Q81" s="28" t="s">
        <v>144</v>
      </c>
      <c r="R81" s="38">
        <v>34060</v>
      </c>
      <c r="S81" s="38">
        <v>34213</v>
      </c>
      <c r="T81" s="39">
        <v>6</v>
      </c>
      <c r="U81" s="40">
        <v>0</v>
      </c>
      <c r="V81" s="40">
        <v>0</v>
      </c>
      <c r="W81" s="40"/>
      <c r="X81" s="23"/>
      <c r="Y81" s="23"/>
      <c r="Z81" s="23"/>
      <c r="AA81" s="23"/>
      <c r="AB81" s="23"/>
      <c r="AC81" s="36"/>
      <c r="AD81" s="36"/>
      <c r="AE81" s="23"/>
      <c r="AF81" s="23"/>
      <c r="AG81" s="23"/>
      <c r="AH81" s="23"/>
      <c r="AI81" s="23"/>
      <c r="AJ81" s="23"/>
      <c r="AK81" s="23"/>
    </row>
    <row r="82" spans="1:37" hidden="1" x14ac:dyDescent="0.3">
      <c r="B82" s="23" t="s">
        <v>836</v>
      </c>
      <c r="C82" s="34"/>
      <c r="D82" s="23"/>
      <c r="E82" s="23"/>
      <c r="F82" s="23"/>
      <c r="G82" s="35"/>
      <c r="H82" s="36"/>
      <c r="I82" s="36"/>
      <c r="J82" s="35"/>
      <c r="K82" s="35"/>
      <c r="L82" s="37" t="s">
        <v>94</v>
      </c>
      <c r="M82" s="28" t="s">
        <v>473</v>
      </c>
      <c r="N82" s="37"/>
      <c r="O82" s="28" t="s">
        <v>76</v>
      </c>
      <c r="P82" s="37" t="s">
        <v>445</v>
      </c>
      <c r="Q82" s="28" t="s">
        <v>439</v>
      </c>
      <c r="R82" s="38">
        <v>33909</v>
      </c>
      <c r="S82" s="38">
        <v>34029</v>
      </c>
      <c r="T82" s="39">
        <v>5</v>
      </c>
      <c r="U82" s="40">
        <v>0</v>
      </c>
      <c r="V82" s="40">
        <v>10</v>
      </c>
      <c r="W82" s="40"/>
      <c r="X82" s="23"/>
      <c r="Y82" s="23"/>
      <c r="Z82" s="23"/>
      <c r="AA82" s="23"/>
      <c r="AB82" s="23"/>
      <c r="AC82" s="36"/>
      <c r="AD82" s="36"/>
      <c r="AE82" s="23"/>
      <c r="AF82" s="23"/>
      <c r="AG82" s="23"/>
      <c r="AH82" s="23"/>
      <c r="AI82" s="23"/>
      <c r="AJ82" s="23"/>
      <c r="AK82" s="23"/>
    </row>
    <row r="83" spans="1:37" ht="33" hidden="1" x14ac:dyDescent="0.3">
      <c r="B83" s="23" t="s">
        <v>829</v>
      </c>
      <c r="C83" s="34"/>
      <c r="D83" s="23"/>
      <c r="E83" s="23"/>
      <c r="F83" s="23"/>
      <c r="G83" s="35"/>
      <c r="H83" s="36"/>
      <c r="I83" s="36"/>
      <c r="J83" s="35"/>
      <c r="K83" s="35"/>
      <c r="L83" s="37" t="s">
        <v>420</v>
      </c>
      <c r="M83" s="28" t="s">
        <v>145</v>
      </c>
      <c r="N83" s="37"/>
      <c r="O83" s="28" t="s">
        <v>76</v>
      </c>
      <c r="P83" s="37" t="s">
        <v>467</v>
      </c>
      <c r="Q83" s="28" t="s">
        <v>144</v>
      </c>
      <c r="R83" s="38">
        <v>33420</v>
      </c>
      <c r="S83" s="38">
        <v>33573</v>
      </c>
      <c r="T83" s="39">
        <v>6</v>
      </c>
      <c r="U83" s="40">
        <v>0</v>
      </c>
      <c r="V83" s="40">
        <v>0</v>
      </c>
      <c r="W83" s="40"/>
      <c r="X83" s="23"/>
      <c r="Y83" s="23"/>
      <c r="Z83" s="23"/>
      <c r="AA83" s="23"/>
      <c r="AB83" s="23"/>
      <c r="AC83" s="36"/>
      <c r="AD83" s="36"/>
      <c r="AE83" s="23"/>
      <c r="AF83" s="23"/>
      <c r="AG83" s="23"/>
      <c r="AH83" s="23"/>
      <c r="AI83" s="23"/>
      <c r="AJ83" s="23"/>
      <c r="AK83" s="23"/>
    </row>
    <row r="84" spans="1:37" hidden="1" x14ac:dyDescent="0.3">
      <c r="B84" s="23"/>
      <c r="C84" s="34"/>
      <c r="D84" s="23"/>
      <c r="E84" s="23"/>
      <c r="F84" s="23"/>
      <c r="G84" s="35"/>
      <c r="H84" s="36"/>
      <c r="I84" s="36"/>
      <c r="J84" s="35"/>
      <c r="K84" s="35"/>
      <c r="L84" s="37"/>
      <c r="M84" s="28"/>
      <c r="N84" s="37"/>
      <c r="O84" s="28"/>
      <c r="P84" s="37"/>
      <c r="Q84" s="28"/>
      <c r="R84" s="38"/>
      <c r="S84" s="38"/>
      <c r="T84" s="39"/>
      <c r="U84" s="40"/>
      <c r="V84" s="40"/>
      <c r="W84" s="40"/>
      <c r="X84" s="23"/>
      <c r="Y84" s="23"/>
      <c r="Z84" s="23"/>
      <c r="AA84" s="23"/>
      <c r="AB84" s="23"/>
      <c r="AC84" s="36"/>
      <c r="AD84" s="36"/>
      <c r="AE84" s="23"/>
      <c r="AF84" s="23"/>
      <c r="AG84" s="23"/>
      <c r="AH84" s="23"/>
      <c r="AI84" s="23"/>
      <c r="AJ84" s="23"/>
      <c r="AK84" s="23"/>
    </row>
    <row r="85" spans="1:37" ht="33" x14ac:dyDescent="0.3">
      <c r="A85">
        <v>5</v>
      </c>
      <c r="B85" s="23" t="s">
        <v>837</v>
      </c>
      <c r="C85" s="34">
        <v>20852</v>
      </c>
      <c r="D85" s="23" t="s">
        <v>25</v>
      </c>
      <c r="E85" s="23" t="s">
        <v>838</v>
      </c>
      <c r="F85" s="23" t="s">
        <v>474</v>
      </c>
      <c r="G85" s="35">
        <v>33848</v>
      </c>
      <c r="H85" s="36">
        <v>30.333333333333332</v>
      </c>
      <c r="I85" s="36" t="s">
        <v>27</v>
      </c>
      <c r="J85" s="35">
        <v>44861</v>
      </c>
      <c r="K85" s="35"/>
      <c r="L85" s="23" t="s">
        <v>475</v>
      </c>
      <c r="M85" s="27" t="s">
        <v>476</v>
      </c>
      <c r="N85" s="37"/>
      <c r="O85" s="27" t="s">
        <v>65</v>
      </c>
      <c r="P85" s="37" t="s">
        <v>477</v>
      </c>
      <c r="Q85" s="23" t="s">
        <v>478</v>
      </c>
      <c r="R85" s="41">
        <v>42896</v>
      </c>
      <c r="S85" s="41">
        <v>44244</v>
      </c>
      <c r="T85" s="39">
        <v>45</v>
      </c>
      <c r="U85" s="40">
        <v>0</v>
      </c>
      <c r="V85" s="40">
        <v>-1</v>
      </c>
      <c r="W85" s="40" t="s">
        <v>839</v>
      </c>
      <c r="X85" s="23"/>
      <c r="Y85" s="23">
        <v>3</v>
      </c>
      <c r="Z85" s="23"/>
      <c r="AA85" s="23" t="s">
        <v>419</v>
      </c>
      <c r="AB85" s="23" t="s">
        <v>417</v>
      </c>
      <c r="AC85" s="36">
        <v>26.17</v>
      </c>
      <c r="AD85" s="36">
        <v>0</v>
      </c>
      <c r="AE85" s="23">
        <v>0</v>
      </c>
      <c r="AF85" s="23">
        <v>0</v>
      </c>
      <c r="AG85" s="23">
        <v>5</v>
      </c>
      <c r="AH85" s="23">
        <v>0</v>
      </c>
      <c r="AI85" s="23">
        <v>21.42</v>
      </c>
      <c r="AJ85" s="23">
        <v>7.58</v>
      </c>
      <c r="AK85" s="23">
        <v>3</v>
      </c>
    </row>
    <row r="86" spans="1:37" ht="33" hidden="1" x14ac:dyDescent="0.3">
      <c r="B86" s="23" t="s">
        <v>837</v>
      </c>
      <c r="C86" s="34"/>
      <c r="D86" s="23"/>
      <c r="E86" s="23"/>
      <c r="F86" s="23"/>
      <c r="G86" s="35"/>
      <c r="H86" s="36"/>
      <c r="I86" s="36"/>
      <c r="J86" s="35"/>
      <c r="K86" s="35"/>
      <c r="L86" s="42" t="s">
        <v>479</v>
      </c>
      <c r="M86" s="27" t="s">
        <v>480</v>
      </c>
      <c r="N86" s="37"/>
      <c r="O86" s="27" t="s">
        <v>65</v>
      </c>
      <c r="P86" s="37" t="s">
        <v>477</v>
      </c>
      <c r="Q86" s="23" t="s">
        <v>478</v>
      </c>
      <c r="R86" s="41">
        <v>42614</v>
      </c>
      <c r="S86" s="41">
        <v>42887</v>
      </c>
      <c r="T86" s="39">
        <v>10</v>
      </c>
      <c r="U86" s="40">
        <v>0</v>
      </c>
      <c r="V86" s="40">
        <v>16</v>
      </c>
      <c r="W86" s="40"/>
      <c r="X86" s="23"/>
      <c r="Y86" s="23"/>
      <c r="Z86" s="23"/>
      <c r="AA86" s="23"/>
      <c r="AB86" s="23"/>
      <c r="AC86" s="36"/>
      <c r="AD86" s="36"/>
      <c r="AE86" s="23"/>
      <c r="AF86" s="23"/>
      <c r="AG86" s="23"/>
      <c r="AH86" s="23"/>
      <c r="AI86" s="23"/>
      <c r="AJ86" s="23"/>
      <c r="AK86" s="23"/>
    </row>
    <row r="87" spans="1:37" ht="49.5" hidden="1" x14ac:dyDescent="0.3">
      <c r="B87" s="23" t="s">
        <v>840</v>
      </c>
      <c r="C87" s="34"/>
      <c r="D87" s="23"/>
      <c r="E87" s="23"/>
      <c r="F87" s="23"/>
      <c r="G87" s="35"/>
      <c r="H87" s="36"/>
      <c r="I87" s="36"/>
      <c r="J87" s="35"/>
      <c r="K87" s="35"/>
      <c r="L87" s="27" t="s">
        <v>481</v>
      </c>
      <c r="M87" s="23" t="s">
        <v>482</v>
      </c>
      <c r="N87" s="37" t="s">
        <v>483</v>
      </c>
      <c r="O87" s="27" t="s">
        <v>65</v>
      </c>
      <c r="P87" s="37" t="s">
        <v>484</v>
      </c>
      <c r="Q87" s="23" t="s">
        <v>485</v>
      </c>
      <c r="R87" s="41">
        <v>41030</v>
      </c>
      <c r="S87" s="41">
        <v>42095</v>
      </c>
      <c r="T87" s="39">
        <v>36</v>
      </c>
      <c r="U87" s="40">
        <v>0</v>
      </c>
      <c r="V87" s="40">
        <v>9</v>
      </c>
      <c r="W87" s="40"/>
      <c r="X87" s="23"/>
      <c r="Y87" s="23"/>
      <c r="Z87" s="23"/>
      <c r="AA87" s="23"/>
      <c r="AB87" s="23"/>
      <c r="AC87" s="36"/>
      <c r="AD87" s="36"/>
      <c r="AE87" s="23"/>
      <c r="AF87" s="23"/>
      <c r="AG87" s="23"/>
      <c r="AH87" s="23"/>
      <c r="AI87" s="23"/>
      <c r="AJ87" s="23"/>
      <c r="AK87" s="23"/>
    </row>
    <row r="88" spans="1:37" ht="33" hidden="1" x14ac:dyDescent="0.3">
      <c r="B88" s="23" t="s">
        <v>841</v>
      </c>
      <c r="C88" s="34"/>
      <c r="D88" s="23"/>
      <c r="E88" s="23"/>
      <c r="F88" s="23"/>
      <c r="G88" s="35"/>
      <c r="H88" s="36"/>
      <c r="I88" s="36"/>
      <c r="J88" s="35"/>
      <c r="K88" s="35"/>
      <c r="L88" s="27" t="s">
        <v>486</v>
      </c>
      <c r="M88" s="23" t="s">
        <v>487</v>
      </c>
      <c r="N88" s="37"/>
      <c r="O88" s="27" t="s">
        <v>146</v>
      </c>
      <c r="P88" s="37" t="s">
        <v>477</v>
      </c>
      <c r="Q88" s="23" t="s">
        <v>147</v>
      </c>
      <c r="R88" s="41">
        <v>37226</v>
      </c>
      <c r="S88" s="41">
        <v>40725</v>
      </c>
      <c r="T88" s="39">
        <v>116</v>
      </c>
      <c r="U88" s="40">
        <v>0</v>
      </c>
      <c r="V88" s="40">
        <v>10</v>
      </c>
      <c r="W88" s="40"/>
      <c r="X88" s="23"/>
      <c r="Y88" s="23"/>
      <c r="Z88" s="23"/>
      <c r="AA88" s="23"/>
      <c r="AB88" s="23"/>
      <c r="AC88" s="36"/>
      <c r="AD88" s="36"/>
      <c r="AE88" s="23"/>
      <c r="AF88" s="23"/>
      <c r="AG88" s="23"/>
      <c r="AH88" s="23"/>
      <c r="AI88" s="23"/>
      <c r="AJ88" s="23"/>
      <c r="AK88" s="23"/>
    </row>
    <row r="89" spans="1:37" ht="33" hidden="1" x14ac:dyDescent="0.3">
      <c r="B89" s="23" t="s">
        <v>837</v>
      </c>
      <c r="C89" s="34"/>
      <c r="D89" s="23"/>
      <c r="E89" s="23"/>
      <c r="F89" s="23"/>
      <c r="G89" s="35"/>
      <c r="H89" s="36"/>
      <c r="I89" s="36"/>
      <c r="J89" s="35"/>
      <c r="K89" s="35"/>
      <c r="L89" s="27" t="s">
        <v>47</v>
      </c>
      <c r="M89" s="23" t="s">
        <v>488</v>
      </c>
      <c r="N89" s="37"/>
      <c r="O89" s="27" t="s">
        <v>489</v>
      </c>
      <c r="P89" s="37" t="s">
        <v>477</v>
      </c>
      <c r="Q89" s="23" t="s">
        <v>490</v>
      </c>
      <c r="R89" s="41">
        <v>35765</v>
      </c>
      <c r="S89" s="41">
        <v>36892</v>
      </c>
      <c r="T89" s="39">
        <v>38</v>
      </c>
      <c r="U89" s="40">
        <v>0</v>
      </c>
      <c r="V89" s="40">
        <v>0</v>
      </c>
      <c r="W89" s="40"/>
      <c r="X89" s="23"/>
      <c r="Y89" s="23"/>
      <c r="Z89" s="23"/>
      <c r="AA89" s="23"/>
      <c r="AB89" s="23"/>
      <c r="AC89" s="36"/>
      <c r="AD89" s="36"/>
      <c r="AE89" s="23"/>
      <c r="AF89" s="23"/>
      <c r="AG89" s="23"/>
      <c r="AH89" s="23"/>
      <c r="AI89" s="23"/>
      <c r="AJ89" s="23"/>
      <c r="AK89" s="23"/>
    </row>
    <row r="90" spans="1:37" ht="33" hidden="1" x14ac:dyDescent="0.3">
      <c r="B90" s="23" t="s">
        <v>837</v>
      </c>
      <c r="C90" s="34"/>
      <c r="D90" s="23"/>
      <c r="E90" s="23"/>
      <c r="F90" s="23"/>
      <c r="G90" s="35"/>
      <c r="H90" s="36"/>
      <c r="I90" s="36"/>
      <c r="J90" s="35"/>
      <c r="K90" s="35"/>
      <c r="L90" s="27" t="s">
        <v>486</v>
      </c>
      <c r="M90" s="23" t="s">
        <v>148</v>
      </c>
      <c r="N90" s="37"/>
      <c r="O90" s="27" t="s">
        <v>149</v>
      </c>
      <c r="P90" s="37" t="s">
        <v>477</v>
      </c>
      <c r="Q90" s="23" t="s">
        <v>491</v>
      </c>
      <c r="R90" s="41">
        <v>34243</v>
      </c>
      <c r="S90" s="41">
        <v>35735</v>
      </c>
      <c r="T90" s="39">
        <v>50</v>
      </c>
      <c r="U90" s="40">
        <v>0</v>
      </c>
      <c r="V90" s="40">
        <v>1</v>
      </c>
      <c r="W90" s="40"/>
      <c r="X90" s="23"/>
      <c r="Y90" s="23"/>
      <c r="Z90" s="23"/>
      <c r="AA90" s="23"/>
      <c r="AB90" s="23"/>
      <c r="AC90" s="36"/>
      <c r="AD90" s="36"/>
      <c r="AE90" s="23"/>
      <c r="AF90" s="23"/>
      <c r="AG90" s="23"/>
      <c r="AH90" s="23"/>
      <c r="AI90" s="23"/>
      <c r="AJ90" s="23"/>
      <c r="AK90" s="23"/>
    </row>
    <row r="91" spans="1:37" hidden="1" x14ac:dyDescent="0.3">
      <c r="B91" s="23" t="s">
        <v>837</v>
      </c>
      <c r="C91" s="34"/>
      <c r="D91" s="23"/>
      <c r="E91" s="23"/>
      <c r="F91" s="23"/>
      <c r="G91" s="35"/>
      <c r="H91" s="36"/>
      <c r="I91" s="36"/>
      <c r="J91" s="35"/>
      <c r="K91" s="35"/>
      <c r="L91" s="27" t="s">
        <v>486</v>
      </c>
      <c r="M91" s="30" t="s">
        <v>492</v>
      </c>
      <c r="N91" s="37"/>
      <c r="O91" s="27" t="s">
        <v>493</v>
      </c>
      <c r="P91" s="37" t="s">
        <v>494</v>
      </c>
      <c r="Q91" s="23" t="s">
        <v>495</v>
      </c>
      <c r="R91" s="41">
        <v>33909</v>
      </c>
      <c r="S91" s="41">
        <v>34182</v>
      </c>
      <c r="T91" s="39">
        <v>10</v>
      </c>
      <c r="U91" s="40">
        <v>0</v>
      </c>
      <c r="V91" s="40">
        <v>27</v>
      </c>
      <c r="W91" s="40"/>
      <c r="X91" s="23"/>
      <c r="Y91" s="23"/>
      <c r="Z91" s="23"/>
      <c r="AA91" s="23"/>
      <c r="AB91" s="23"/>
      <c r="AC91" s="36"/>
      <c r="AD91" s="36"/>
      <c r="AE91" s="23"/>
      <c r="AF91" s="23"/>
      <c r="AG91" s="23"/>
      <c r="AH91" s="23"/>
      <c r="AI91" s="23"/>
      <c r="AJ91" s="23"/>
      <c r="AK91" s="23"/>
    </row>
    <row r="92" spans="1:37" hidden="1" x14ac:dyDescent="0.3">
      <c r="B92" s="23" t="s">
        <v>837</v>
      </c>
      <c r="C92" s="34"/>
      <c r="D92" s="23"/>
      <c r="E92" s="23"/>
      <c r="F92" s="23"/>
      <c r="G92" s="35"/>
      <c r="H92" s="36"/>
      <c r="I92" s="36"/>
      <c r="J92" s="35"/>
      <c r="K92" s="35"/>
      <c r="L92" s="27" t="s">
        <v>486</v>
      </c>
      <c r="M92" s="23" t="s">
        <v>496</v>
      </c>
      <c r="N92" s="37"/>
      <c r="O92" s="27" t="s">
        <v>150</v>
      </c>
      <c r="P92" s="37" t="s">
        <v>494</v>
      </c>
      <c r="Q92" s="23" t="s">
        <v>151</v>
      </c>
      <c r="R92" s="41">
        <v>32994</v>
      </c>
      <c r="S92" s="41">
        <v>33055</v>
      </c>
      <c r="T92" s="39">
        <v>3</v>
      </c>
      <c r="U92" s="40">
        <v>0</v>
      </c>
      <c r="V92" s="40">
        <v>24</v>
      </c>
      <c r="W92" s="40"/>
      <c r="X92" s="23"/>
      <c r="Y92" s="23"/>
      <c r="Z92" s="23"/>
      <c r="AA92" s="23"/>
      <c r="AB92" s="23"/>
      <c r="AC92" s="36"/>
      <c r="AD92" s="36"/>
      <c r="AE92" s="23"/>
      <c r="AF92" s="23"/>
      <c r="AG92" s="23"/>
      <c r="AH92" s="23"/>
      <c r="AI92" s="23"/>
      <c r="AJ92" s="23"/>
      <c r="AK92" s="23"/>
    </row>
    <row r="93" spans="1:37" hidden="1" x14ac:dyDescent="0.3">
      <c r="B93" s="23" t="s">
        <v>837</v>
      </c>
      <c r="C93" s="34"/>
      <c r="D93" s="23"/>
      <c r="E93" s="23"/>
      <c r="F93" s="23"/>
      <c r="G93" s="35"/>
      <c r="H93" s="36"/>
      <c r="I93" s="36"/>
      <c r="J93" s="35"/>
      <c r="K93" s="35"/>
      <c r="L93" s="27" t="s">
        <v>486</v>
      </c>
      <c r="M93" s="23" t="s">
        <v>152</v>
      </c>
      <c r="N93" s="37"/>
      <c r="O93" s="27" t="s">
        <v>497</v>
      </c>
      <c r="P93" s="37" t="s">
        <v>477</v>
      </c>
      <c r="Q93" s="23" t="s">
        <v>495</v>
      </c>
      <c r="R93" s="41">
        <v>32143</v>
      </c>
      <c r="S93" s="41">
        <v>32234</v>
      </c>
      <c r="T93" s="39">
        <v>4</v>
      </c>
      <c r="U93" s="40">
        <v>0</v>
      </c>
      <c r="V93" s="40">
        <v>39</v>
      </c>
      <c r="W93" s="40"/>
      <c r="X93" s="23"/>
      <c r="Y93" s="23"/>
      <c r="Z93" s="23"/>
      <c r="AA93" s="23"/>
      <c r="AB93" s="23"/>
      <c r="AC93" s="36"/>
      <c r="AD93" s="36"/>
      <c r="AE93" s="23"/>
      <c r="AF93" s="23"/>
      <c r="AG93" s="23"/>
      <c r="AH93" s="23"/>
      <c r="AI93" s="23"/>
      <c r="AJ93" s="23"/>
      <c r="AK93" s="23"/>
    </row>
    <row r="94" spans="1:37" hidden="1" x14ac:dyDescent="0.3">
      <c r="B94" s="23" t="s">
        <v>840</v>
      </c>
      <c r="C94" s="34"/>
      <c r="D94" s="23"/>
      <c r="E94" s="23"/>
      <c r="F94" s="23"/>
      <c r="G94" s="35"/>
      <c r="H94" s="36"/>
      <c r="I94" s="36"/>
      <c r="J94" s="35"/>
      <c r="K94" s="35"/>
      <c r="L94" s="27" t="s">
        <v>486</v>
      </c>
      <c r="M94" s="23" t="s">
        <v>498</v>
      </c>
      <c r="N94" s="37"/>
      <c r="O94" s="27" t="s">
        <v>497</v>
      </c>
      <c r="P94" s="37" t="s">
        <v>477</v>
      </c>
      <c r="Q94" s="23" t="s">
        <v>151</v>
      </c>
      <c r="R94" s="41">
        <v>30895</v>
      </c>
      <c r="S94" s="41">
        <v>30926</v>
      </c>
      <c r="T94" s="39">
        <v>2</v>
      </c>
      <c r="U94" s="40">
        <v>0</v>
      </c>
      <c r="V94" s="40">
        <v>0</v>
      </c>
      <c r="W94" s="40"/>
      <c r="X94" s="23"/>
      <c r="Y94" s="23"/>
      <c r="Z94" s="23"/>
      <c r="AA94" s="23"/>
      <c r="AB94" s="23"/>
      <c r="AC94" s="36"/>
      <c r="AD94" s="36"/>
      <c r="AE94" s="23"/>
      <c r="AF94" s="23"/>
      <c r="AG94" s="23"/>
      <c r="AH94" s="23"/>
      <c r="AI94" s="23"/>
      <c r="AJ94" s="23"/>
      <c r="AK94" s="23"/>
    </row>
    <row r="95" spans="1:37" hidden="1" x14ac:dyDescent="0.3">
      <c r="B95" s="23"/>
      <c r="C95" s="34"/>
      <c r="D95" s="23"/>
      <c r="E95" s="23"/>
      <c r="F95" s="23"/>
      <c r="G95" s="35"/>
      <c r="H95" s="36"/>
      <c r="I95" s="36"/>
      <c r="J95" s="35"/>
      <c r="K95" s="35"/>
      <c r="L95" s="27"/>
      <c r="M95" s="23"/>
      <c r="N95" s="37"/>
      <c r="O95" s="27"/>
      <c r="P95" s="37"/>
      <c r="Q95" s="23"/>
      <c r="R95" s="41"/>
      <c r="S95" s="41"/>
      <c r="T95" s="39"/>
      <c r="U95" s="40"/>
      <c r="V95" s="40"/>
      <c r="W95" s="40"/>
      <c r="X95" s="23"/>
      <c r="Y95" s="23"/>
      <c r="Z95" s="23"/>
      <c r="AA95" s="23"/>
      <c r="AB95" s="23"/>
      <c r="AC95" s="36"/>
      <c r="AD95" s="36"/>
      <c r="AE95" s="23"/>
      <c r="AF95" s="23"/>
      <c r="AG95" s="23"/>
      <c r="AH95" s="23"/>
      <c r="AI95" s="23"/>
      <c r="AJ95" s="23"/>
      <c r="AK95" s="23"/>
    </row>
    <row r="96" spans="1:37" ht="33" x14ac:dyDescent="0.3">
      <c r="A96">
        <v>6</v>
      </c>
      <c r="B96" s="23" t="s">
        <v>842</v>
      </c>
      <c r="C96" s="34">
        <v>23775</v>
      </c>
      <c r="D96" s="23" t="s">
        <v>843</v>
      </c>
      <c r="E96" s="23" t="s">
        <v>838</v>
      </c>
      <c r="F96" s="23" t="s">
        <v>474</v>
      </c>
      <c r="G96" s="35">
        <v>42736</v>
      </c>
      <c r="H96" s="36">
        <v>6</v>
      </c>
      <c r="I96" s="36" t="s">
        <v>27</v>
      </c>
      <c r="J96" s="35">
        <v>44246</v>
      </c>
      <c r="K96" s="35"/>
      <c r="L96" s="23" t="s">
        <v>153</v>
      </c>
      <c r="M96" s="23" t="s">
        <v>154</v>
      </c>
      <c r="N96" s="23"/>
      <c r="O96" s="23"/>
      <c r="P96" s="23" t="s">
        <v>66</v>
      </c>
      <c r="Q96" s="23" t="s">
        <v>155</v>
      </c>
      <c r="R96" s="31">
        <v>43497</v>
      </c>
      <c r="S96" s="31">
        <v>43891</v>
      </c>
      <c r="T96" s="39">
        <v>14</v>
      </c>
      <c r="U96" s="40">
        <v>0</v>
      </c>
      <c r="V96" s="40">
        <v>4</v>
      </c>
      <c r="W96" s="40" t="s">
        <v>844</v>
      </c>
      <c r="X96" s="23">
        <v>3</v>
      </c>
      <c r="Y96" s="23">
        <v>3</v>
      </c>
      <c r="Z96" s="23"/>
      <c r="AA96" s="23" t="s">
        <v>419</v>
      </c>
      <c r="AB96" s="23" t="s">
        <v>76</v>
      </c>
      <c r="AC96" s="36">
        <v>27.58</v>
      </c>
      <c r="AD96" s="36">
        <v>1.92</v>
      </c>
      <c r="AE96" s="23">
        <v>1</v>
      </c>
      <c r="AF96" s="23">
        <v>0</v>
      </c>
      <c r="AG96" s="23">
        <v>8</v>
      </c>
      <c r="AH96" s="23">
        <v>0</v>
      </c>
      <c r="AI96" s="23">
        <v>22.25</v>
      </c>
      <c r="AJ96" s="23">
        <v>12.92</v>
      </c>
      <c r="AK96" s="23">
        <v>6</v>
      </c>
    </row>
    <row r="97" spans="1:37" ht="33" hidden="1" x14ac:dyDescent="0.3">
      <c r="B97" s="23" t="s">
        <v>842</v>
      </c>
      <c r="C97" s="34"/>
      <c r="D97" s="23"/>
      <c r="E97" s="23"/>
      <c r="F97" s="23"/>
      <c r="G97" s="35"/>
      <c r="H97" s="36"/>
      <c r="I97" s="36"/>
      <c r="J97" s="35"/>
      <c r="K97" s="35"/>
      <c r="L97" s="23" t="s">
        <v>156</v>
      </c>
      <c r="M97" s="23" t="s">
        <v>157</v>
      </c>
      <c r="N97" s="23"/>
      <c r="O97" s="23"/>
      <c r="P97" s="23"/>
      <c r="Q97" s="23" t="s">
        <v>155</v>
      </c>
      <c r="R97" s="31">
        <v>42736</v>
      </c>
      <c r="S97" s="31">
        <v>43344</v>
      </c>
      <c r="T97" s="39">
        <v>21</v>
      </c>
      <c r="U97" s="40">
        <v>0</v>
      </c>
      <c r="V97" s="40">
        <v>3</v>
      </c>
      <c r="W97" s="40"/>
      <c r="X97" s="23"/>
      <c r="Y97" s="23"/>
      <c r="Z97" s="23"/>
      <c r="AA97" s="23"/>
      <c r="AB97" s="23"/>
      <c r="AC97" s="36"/>
      <c r="AD97" s="36"/>
      <c r="AE97" s="23"/>
      <c r="AF97" s="23"/>
      <c r="AG97" s="23"/>
      <c r="AH97" s="23"/>
      <c r="AI97" s="23"/>
      <c r="AJ97" s="23"/>
      <c r="AK97" s="23"/>
    </row>
    <row r="98" spans="1:37" hidden="1" x14ac:dyDescent="0.3">
      <c r="B98" s="23" t="s">
        <v>842</v>
      </c>
      <c r="C98" s="34"/>
      <c r="D98" s="23"/>
      <c r="E98" s="23"/>
      <c r="F98" s="23"/>
      <c r="G98" s="35"/>
      <c r="H98" s="36"/>
      <c r="I98" s="36"/>
      <c r="J98" s="35"/>
      <c r="K98" s="35"/>
      <c r="L98" s="23" t="s">
        <v>158</v>
      </c>
      <c r="M98" s="23" t="s">
        <v>159</v>
      </c>
      <c r="N98" s="23" t="s">
        <v>64</v>
      </c>
      <c r="O98" s="23" t="s">
        <v>65</v>
      </c>
      <c r="P98" s="23"/>
      <c r="Q98" s="23" t="s">
        <v>69</v>
      </c>
      <c r="R98" s="31">
        <v>41944</v>
      </c>
      <c r="S98" s="31">
        <v>42614</v>
      </c>
      <c r="T98" s="39">
        <v>23</v>
      </c>
      <c r="U98" s="40">
        <v>0</v>
      </c>
      <c r="V98" s="40">
        <v>15</v>
      </c>
      <c r="W98" s="40"/>
      <c r="X98" s="23"/>
      <c r="Y98" s="23"/>
      <c r="Z98" s="23"/>
      <c r="AA98" s="23"/>
      <c r="AB98" s="23"/>
      <c r="AC98" s="36"/>
      <c r="AD98" s="36"/>
      <c r="AE98" s="23"/>
      <c r="AF98" s="23"/>
      <c r="AG98" s="23"/>
      <c r="AH98" s="23"/>
      <c r="AI98" s="23"/>
      <c r="AJ98" s="23"/>
      <c r="AK98" s="23"/>
    </row>
    <row r="99" spans="1:37" ht="33" hidden="1" x14ac:dyDescent="0.3">
      <c r="B99" s="23" t="s">
        <v>845</v>
      </c>
      <c r="C99" s="34"/>
      <c r="D99" s="23"/>
      <c r="E99" s="23"/>
      <c r="F99" s="23"/>
      <c r="G99" s="35"/>
      <c r="H99" s="36"/>
      <c r="I99" s="36"/>
      <c r="J99" s="35"/>
      <c r="K99" s="35"/>
      <c r="L99" s="23" t="s">
        <v>160</v>
      </c>
      <c r="M99" s="23" t="s">
        <v>161</v>
      </c>
      <c r="N99" s="23" t="s">
        <v>64</v>
      </c>
      <c r="O99" s="23" t="s">
        <v>65</v>
      </c>
      <c r="P99" s="23"/>
      <c r="Q99" s="23" t="s">
        <v>155</v>
      </c>
      <c r="R99" s="31">
        <v>39479</v>
      </c>
      <c r="S99" s="31">
        <v>41456</v>
      </c>
      <c r="T99" s="39">
        <v>66</v>
      </c>
      <c r="U99" s="40">
        <v>0</v>
      </c>
      <c r="V99" s="40">
        <v>0</v>
      </c>
      <c r="W99" s="40"/>
      <c r="X99" s="23"/>
      <c r="Y99" s="23"/>
      <c r="Z99" s="23"/>
      <c r="AA99" s="23"/>
      <c r="AB99" s="23"/>
      <c r="AC99" s="36"/>
      <c r="AD99" s="36"/>
      <c r="AE99" s="23"/>
      <c r="AF99" s="23"/>
      <c r="AG99" s="23"/>
      <c r="AH99" s="23"/>
      <c r="AI99" s="23"/>
      <c r="AJ99" s="23"/>
      <c r="AK99" s="23"/>
    </row>
    <row r="100" spans="1:37" ht="33" hidden="1" x14ac:dyDescent="0.3">
      <c r="B100" s="23" t="s">
        <v>842</v>
      </c>
      <c r="C100" s="34"/>
      <c r="D100" s="23"/>
      <c r="E100" s="23"/>
      <c r="F100" s="23"/>
      <c r="G100" s="35"/>
      <c r="H100" s="36"/>
      <c r="I100" s="36"/>
      <c r="J100" s="35"/>
      <c r="K100" s="35"/>
      <c r="L100" s="23" t="s">
        <v>71</v>
      </c>
      <c r="M100" s="23" t="s">
        <v>162</v>
      </c>
      <c r="N100" s="23"/>
      <c r="O100" s="23" t="s">
        <v>65</v>
      </c>
      <c r="P100" s="23"/>
      <c r="Q100" s="23" t="s">
        <v>155</v>
      </c>
      <c r="R100" s="31">
        <v>38018</v>
      </c>
      <c r="S100" s="31">
        <v>39448</v>
      </c>
      <c r="T100" s="39">
        <v>48</v>
      </c>
      <c r="U100" s="40">
        <v>0</v>
      </c>
      <c r="V100" s="40">
        <v>0</v>
      </c>
      <c r="W100" s="40"/>
      <c r="X100" s="23"/>
      <c r="Y100" s="23"/>
      <c r="Z100" s="23"/>
      <c r="AA100" s="23"/>
      <c r="AB100" s="23"/>
      <c r="AC100" s="36"/>
      <c r="AD100" s="36"/>
      <c r="AE100" s="23"/>
      <c r="AF100" s="23"/>
      <c r="AG100" s="23"/>
      <c r="AH100" s="23"/>
      <c r="AI100" s="23"/>
      <c r="AJ100" s="23"/>
      <c r="AK100" s="23"/>
    </row>
    <row r="101" spans="1:37" ht="33" hidden="1" x14ac:dyDescent="0.3">
      <c r="B101" s="23" t="s">
        <v>842</v>
      </c>
      <c r="C101" s="34"/>
      <c r="D101" s="23"/>
      <c r="E101" s="23"/>
      <c r="F101" s="23"/>
      <c r="G101" s="35"/>
      <c r="H101" s="36"/>
      <c r="I101" s="36"/>
      <c r="J101" s="35"/>
      <c r="K101" s="35"/>
      <c r="L101" s="23" t="s">
        <v>71</v>
      </c>
      <c r="M101" s="23" t="s">
        <v>163</v>
      </c>
      <c r="N101" s="23"/>
      <c r="O101" s="23" t="s">
        <v>65</v>
      </c>
      <c r="P101" s="23"/>
      <c r="Q101" s="23" t="s">
        <v>155</v>
      </c>
      <c r="R101" s="31">
        <v>37135</v>
      </c>
      <c r="S101" s="31">
        <v>37987</v>
      </c>
      <c r="T101" s="39">
        <v>29</v>
      </c>
      <c r="U101" s="40">
        <v>0</v>
      </c>
      <c r="V101" s="40">
        <v>0</v>
      </c>
      <c r="W101" s="40"/>
      <c r="X101" s="23"/>
      <c r="Y101" s="23"/>
      <c r="Z101" s="23"/>
      <c r="AA101" s="23"/>
      <c r="AB101" s="23"/>
      <c r="AC101" s="36"/>
      <c r="AD101" s="36"/>
      <c r="AE101" s="23"/>
      <c r="AF101" s="23"/>
      <c r="AG101" s="23"/>
      <c r="AH101" s="23"/>
      <c r="AI101" s="23"/>
      <c r="AJ101" s="23"/>
      <c r="AK101" s="23"/>
    </row>
    <row r="102" spans="1:37" ht="33" hidden="1" x14ac:dyDescent="0.3">
      <c r="B102" s="23" t="s">
        <v>842</v>
      </c>
      <c r="C102" s="34"/>
      <c r="D102" s="23"/>
      <c r="E102" s="23"/>
      <c r="F102" s="23"/>
      <c r="G102" s="35"/>
      <c r="H102" s="36"/>
      <c r="I102" s="36"/>
      <c r="J102" s="35"/>
      <c r="K102" s="35"/>
      <c r="L102" s="23" t="s">
        <v>71</v>
      </c>
      <c r="M102" s="23" t="s">
        <v>164</v>
      </c>
      <c r="N102" s="23"/>
      <c r="O102" s="23" t="s">
        <v>65</v>
      </c>
      <c r="P102" s="23"/>
      <c r="Q102" s="23" t="s">
        <v>155</v>
      </c>
      <c r="R102" s="31">
        <v>37043</v>
      </c>
      <c r="S102" s="31">
        <v>37104</v>
      </c>
      <c r="T102" s="39">
        <v>3</v>
      </c>
      <c r="U102" s="40">
        <v>1</v>
      </c>
      <c r="V102" s="40">
        <v>0</v>
      </c>
      <c r="W102" s="40"/>
      <c r="X102" s="23"/>
      <c r="Y102" s="23"/>
      <c r="Z102" s="23"/>
      <c r="AA102" s="23"/>
      <c r="AB102" s="23"/>
      <c r="AC102" s="36"/>
      <c r="AD102" s="36"/>
      <c r="AE102" s="23"/>
      <c r="AF102" s="23"/>
      <c r="AG102" s="23"/>
      <c r="AH102" s="23"/>
      <c r="AI102" s="23"/>
      <c r="AJ102" s="23"/>
      <c r="AK102" s="23"/>
    </row>
    <row r="103" spans="1:37" ht="33" hidden="1" x14ac:dyDescent="0.3">
      <c r="B103" s="23" t="s">
        <v>842</v>
      </c>
      <c r="C103" s="34"/>
      <c r="D103" s="23"/>
      <c r="E103" s="23"/>
      <c r="F103" s="23"/>
      <c r="G103" s="35"/>
      <c r="H103" s="36"/>
      <c r="I103" s="36"/>
      <c r="J103" s="35"/>
      <c r="K103" s="35"/>
      <c r="L103" s="23" t="s">
        <v>165</v>
      </c>
      <c r="M103" s="23" t="s">
        <v>166</v>
      </c>
      <c r="N103" s="23"/>
      <c r="O103" s="23" t="s">
        <v>65</v>
      </c>
      <c r="P103" s="23"/>
      <c r="Q103" s="23" t="s">
        <v>167</v>
      </c>
      <c r="R103" s="31">
        <v>37012</v>
      </c>
      <c r="S103" s="31">
        <v>37043</v>
      </c>
      <c r="T103" s="39">
        <v>2</v>
      </c>
      <c r="U103" s="40">
        <v>1</v>
      </c>
      <c r="V103" s="40">
        <v>0</v>
      </c>
      <c r="W103" s="40"/>
      <c r="X103" s="23"/>
      <c r="Y103" s="23"/>
      <c r="Z103" s="23"/>
      <c r="AA103" s="23"/>
      <c r="AB103" s="23"/>
      <c r="AC103" s="36"/>
      <c r="AD103" s="36"/>
      <c r="AE103" s="23"/>
      <c r="AF103" s="23"/>
      <c r="AG103" s="23"/>
      <c r="AH103" s="23"/>
      <c r="AI103" s="23"/>
      <c r="AJ103" s="23"/>
      <c r="AK103" s="23"/>
    </row>
    <row r="104" spans="1:37" ht="33" hidden="1" x14ac:dyDescent="0.3">
      <c r="B104" s="23" t="s">
        <v>845</v>
      </c>
      <c r="C104" s="34"/>
      <c r="D104" s="23"/>
      <c r="E104" s="23"/>
      <c r="F104" s="23"/>
      <c r="G104" s="35"/>
      <c r="H104" s="36"/>
      <c r="I104" s="36"/>
      <c r="J104" s="35"/>
      <c r="K104" s="35"/>
      <c r="L104" s="23" t="s">
        <v>165</v>
      </c>
      <c r="M104" s="23" t="s">
        <v>168</v>
      </c>
      <c r="N104" s="23"/>
      <c r="O104" s="23"/>
      <c r="P104" s="23"/>
      <c r="Q104" s="23" t="s">
        <v>167</v>
      </c>
      <c r="R104" s="31">
        <v>36161</v>
      </c>
      <c r="S104" s="31">
        <v>37012</v>
      </c>
      <c r="T104" s="39">
        <v>29</v>
      </c>
      <c r="U104" s="40">
        <v>0</v>
      </c>
      <c r="V104" s="40">
        <v>0</v>
      </c>
      <c r="W104" s="40"/>
      <c r="X104" s="23"/>
      <c r="Y104" s="23"/>
      <c r="Z104" s="23"/>
      <c r="AA104" s="23"/>
      <c r="AB104" s="23"/>
      <c r="AC104" s="36"/>
      <c r="AD104" s="36"/>
      <c r="AE104" s="23"/>
      <c r="AF104" s="23"/>
      <c r="AG104" s="23"/>
      <c r="AH104" s="23"/>
      <c r="AI104" s="23"/>
      <c r="AJ104" s="23"/>
      <c r="AK104" s="23"/>
    </row>
    <row r="105" spans="1:37" ht="33" hidden="1" x14ac:dyDescent="0.3">
      <c r="B105" s="23" t="s">
        <v>842</v>
      </c>
      <c r="C105" s="34"/>
      <c r="D105" s="23"/>
      <c r="E105" s="23"/>
      <c r="F105" s="23"/>
      <c r="G105" s="35"/>
      <c r="H105" s="36"/>
      <c r="I105" s="36"/>
      <c r="J105" s="35"/>
      <c r="K105" s="35"/>
      <c r="L105" s="23" t="s">
        <v>71</v>
      </c>
      <c r="M105" s="23" t="s">
        <v>169</v>
      </c>
      <c r="N105" s="23"/>
      <c r="O105" s="23" t="s">
        <v>65</v>
      </c>
      <c r="P105" s="23"/>
      <c r="Q105" s="23" t="s">
        <v>155</v>
      </c>
      <c r="R105" s="31">
        <v>35096</v>
      </c>
      <c r="S105" s="31">
        <v>36130</v>
      </c>
      <c r="T105" s="39">
        <v>35</v>
      </c>
      <c r="U105" s="40">
        <v>0</v>
      </c>
      <c r="V105" s="40">
        <v>0</v>
      </c>
      <c r="W105" s="40"/>
      <c r="X105" s="23"/>
      <c r="Y105" s="23"/>
      <c r="Z105" s="23"/>
      <c r="AA105" s="23"/>
      <c r="AB105" s="23"/>
      <c r="AC105" s="36"/>
      <c r="AD105" s="36"/>
      <c r="AE105" s="23"/>
      <c r="AF105" s="23"/>
      <c r="AG105" s="23"/>
      <c r="AH105" s="23"/>
      <c r="AI105" s="23"/>
      <c r="AJ105" s="23"/>
      <c r="AK105" s="23"/>
    </row>
    <row r="106" spans="1:37" ht="33" hidden="1" x14ac:dyDescent="0.3">
      <c r="B106" s="23" t="s">
        <v>845</v>
      </c>
      <c r="C106" s="34"/>
      <c r="D106" s="23"/>
      <c r="E106" s="23"/>
      <c r="F106" s="23"/>
      <c r="G106" s="35"/>
      <c r="H106" s="36"/>
      <c r="I106" s="36"/>
      <c r="J106" s="35"/>
      <c r="K106" s="35"/>
      <c r="L106" s="23" t="s">
        <v>71</v>
      </c>
      <c r="M106" s="23" t="s">
        <v>170</v>
      </c>
      <c r="N106" s="23"/>
      <c r="O106" s="23" t="s">
        <v>65</v>
      </c>
      <c r="P106" s="23"/>
      <c r="Q106" s="23" t="s">
        <v>171</v>
      </c>
      <c r="R106" s="31">
        <v>33239</v>
      </c>
      <c r="S106" s="31">
        <v>35065</v>
      </c>
      <c r="T106" s="39">
        <v>61</v>
      </c>
      <c r="U106" s="40">
        <v>0</v>
      </c>
      <c r="V106" s="40">
        <v>0</v>
      </c>
      <c r="W106" s="40"/>
      <c r="X106" s="23"/>
      <c r="Y106" s="23"/>
      <c r="Z106" s="23"/>
      <c r="AA106" s="23"/>
      <c r="AB106" s="23"/>
      <c r="AC106" s="36"/>
      <c r="AD106" s="36"/>
      <c r="AE106" s="23"/>
      <c r="AF106" s="23"/>
      <c r="AG106" s="23"/>
      <c r="AH106" s="23"/>
      <c r="AI106" s="23"/>
      <c r="AJ106" s="23"/>
      <c r="AK106" s="23"/>
    </row>
    <row r="107" spans="1:37" hidden="1" x14ac:dyDescent="0.3">
      <c r="B107" s="23"/>
      <c r="C107" s="34"/>
      <c r="D107" s="23"/>
      <c r="E107" s="23"/>
      <c r="F107" s="23"/>
      <c r="G107" s="35"/>
      <c r="H107" s="36"/>
      <c r="I107" s="36"/>
      <c r="J107" s="35"/>
      <c r="K107" s="35"/>
      <c r="L107" s="23"/>
      <c r="M107" s="23"/>
      <c r="N107" s="23"/>
      <c r="O107" s="23"/>
      <c r="P107" s="23"/>
      <c r="Q107" s="23"/>
      <c r="R107" s="31"/>
      <c r="S107" s="31"/>
      <c r="T107" s="39"/>
      <c r="U107" s="40"/>
      <c r="V107" s="40"/>
      <c r="W107" s="40"/>
      <c r="X107" s="23"/>
      <c r="Y107" s="23"/>
      <c r="Z107" s="23"/>
      <c r="AA107" s="23"/>
      <c r="AB107" s="23"/>
      <c r="AC107" s="36"/>
      <c r="AD107" s="36"/>
      <c r="AE107" s="23"/>
      <c r="AF107" s="23"/>
      <c r="AG107" s="23"/>
      <c r="AH107" s="23"/>
      <c r="AI107" s="23"/>
      <c r="AJ107" s="23"/>
      <c r="AK107" s="23"/>
    </row>
    <row r="108" spans="1:37" x14ac:dyDescent="0.3">
      <c r="A108">
        <v>7</v>
      </c>
      <c r="B108" s="23" t="s">
        <v>846</v>
      </c>
      <c r="C108" s="34">
        <v>21877</v>
      </c>
      <c r="D108" s="23" t="s">
        <v>847</v>
      </c>
      <c r="E108" s="23" t="s">
        <v>838</v>
      </c>
      <c r="F108" s="23" t="s">
        <v>474</v>
      </c>
      <c r="G108" s="35">
        <v>42957</v>
      </c>
      <c r="H108" s="43">
        <v>5.416666666666667</v>
      </c>
      <c r="I108" s="36" t="s">
        <v>848</v>
      </c>
      <c r="J108" s="35"/>
      <c r="K108" s="35"/>
      <c r="L108" s="37" t="s">
        <v>88</v>
      </c>
      <c r="M108" s="28" t="s">
        <v>172</v>
      </c>
      <c r="N108" s="37"/>
      <c r="O108" s="28"/>
      <c r="P108" s="37"/>
      <c r="Q108" s="28"/>
      <c r="R108" s="38">
        <v>43474</v>
      </c>
      <c r="S108" s="38">
        <v>43724</v>
      </c>
      <c r="T108" s="39">
        <v>9</v>
      </c>
      <c r="U108" s="40">
        <v>0</v>
      </c>
      <c r="V108" s="40">
        <v>17</v>
      </c>
      <c r="W108" s="40" t="s">
        <v>849</v>
      </c>
      <c r="X108" s="23"/>
      <c r="Y108" s="23"/>
      <c r="Z108" s="23"/>
      <c r="AA108" s="23" t="s">
        <v>417</v>
      </c>
      <c r="AB108" s="23" t="s">
        <v>419</v>
      </c>
      <c r="AC108" s="36">
        <v>31.92</v>
      </c>
      <c r="AD108" s="36">
        <v>0</v>
      </c>
      <c r="AE108" s="23">
        <v>0</v>
      </c>
      <c r="AF108" s="23">
        <v>0</v>
      </c>
      <c r="AG108" s="23">
        <v>0</v>
      </c>
      <c r="AH108" s="23">
        <v>0</v>
      </c>
      <c r="AI108" s="23">
        <v>0</v>
      </c>
      <c r="AJ108" s="36">
        <v>20.329999999999998</v>
      </c>
      <c r="AK108" s="23">
        <v>6</v>
      </c>
    </row>
    <row r="109" spans="1:37" hidden="1" x14ac:dyDescent="0.3">
      <c r="B109" s="23" t="s">
        <v>846</v>
      </c>
      <c r="C109" s="34"/>
      <c r="D109" s="23"/>
      <c r="E109" s="23"/>
      <c r="F109" s="23"/>
      <c r="G109" s="35"/>
      <c r="H109" s="36"/>
      <c r="I109" s="36"/>
      <c r="J109" s="35"/>
      <c r="K109" s="35"/>
      <c r="L109" s="37" t="s">
        <v>499</v>
      </c>
      <c r="M109" s="28" t="s">
        <v>500</v>
      </c>
      <c r="N109" s="37"/>
      <c r="O109" s="28"/>
      <c r="P109" s="37"/>
      <c r="Q109" s="28" t="s">
        <v>174</v>
      </c>
      <c r="R109" s="38">
        <v>41183</v>
      </c>
      <c r="S109" s="38">
        <v>42917</v>
      </c>
      <c r="T109" s="39">
        <v>58</v>
      </c>
      <c r="U109" s="40">
        <v>0</v>
      </c>
      <c r="V109" s="40">
        <v>17</v>
      </c>
      <c r="W109" s="40"/>
      <c r="X109" s="23"/>
      <c r="Y109" s="23"/>
      <c r="Z109" s="23"/>
      <c r="AA109" s="23"/>
      <c r="AB109" s="23"/>
      <c r="AC109" s="36"/>
      <c r="AD109" s="36"/>
      <c r="AE109" s="23"/>
      <c r="AF109" s="23"/>
      <c r="AG109" s="23"/>
      <c r="AH109" s="23"/>
      <c r="AI109" s="23"/>
      <c r="AJ109" s="23"/>
      <c r="AK109" s="23"/>
    </row>
    <row r="110" spans="1:37" hidden="1" x14ac:dyDescent="0.3">
      <c r="B110" s="23" t="s">
        <v>846</v>
      </c>
      <c r="C110" s="34"/>
      <c r="D110" s="23"/>
      <c r="E110" s="23"/>
      <c r="F110" s="23"/>
      <c r="G110" s="35"/>
      <c r="H110" s="36"/>
      <c r="I110" s="36"/>
      <c r="J110" s="35"/>
      <c r="K110" s="35"/>
      <c r="L110" s="37" t="s">
        <v>501</v>
      </c>
      <c r="M110" s="28" t="s">
        <v>502</v>
      </c>
      <c r="N110" s="37"/>
      <c r="O110" s="28"/>
      <c r="P110" s="37"/>
      <c r="Q110" s="28" t="s">
        <v>503</v>
      </c>
      <c r="R110" s="38">
        <v>38961</v>
      </c>
      <c r="S110" s="38">
        <v>41091</v>
      </c>
      <c r="T110" s="39">
        <v>71</v>
      </c>
      <c r="U110" s="40">
        <v>0</v>
      </c>
      <c r="V110" s="40">
        <v>2</v>
      </c>
      <c r="W110" s="40"/>
      <c r="X110" s="23"/>
      <c r="Y110" s="23"/>
      <c r="Z110" s="23"/>
      <c r="AA110" s="23"/>
      <c r="AB110" s="23"/>
      <c r="AC110" s="36"/>
      <c r="AD110" s="36"/>
      <c r="AE110" s="23"/>
      <c r="AF110" s="23"/>
      <c r="AG110" s="23"/>
      <c r="AH110" s="23"/>
      <c r="AI110" s="23"/>
      <c r="AJ110" s="23"/>
      <c r="AK110" s="23"/>
    </row>
    <row r="111" spans="1:37" hidden="1" x14ac:dyDescent="0.3">
      <c r="B111" s="23" t="s">
        <v>850</v>
      </c>
      <c r="C111" s="34"/>
      <c r="D111" s="23"/>
      <c r="E111" s="23"/>
      <c r="F111" s="23"/>
      <c r="G111" s="35"/>
      <c r="H111" s="36"/>
      <c r="I111" s="36"/>
      <c r="J111" s="35"/>
      <c r="K111" s="35"/>
      <c r="L111" s="37" t="s">
        <v>420</v>
      </c>
      <c r="M111" s="28" t="s">
        <v>504</v>
      </c>
      <c r="N111" s="37"/>
      <c r="O111" s="28"/>
      <c r="P111" s="37"/>
      <c r="Q111" s="28" t="s">
        <v>175</v>
      </c>
      <c r="R111" s="38">
        <v>38322</v>
      </c>
      <c r="S111" s="38">
        <v>38961</v>
      </c>
      <c r="T111" s="39">
        <v>22</v>
      </c>
      <c r="U111" s="40">
        <v>1</v>
      </c>
      <c r="V111" s="40">
        <v>0</v>
      </c>
      <c r="W111" s="40"/>
      <c r="X111" s="23"/>
      <c r="Y111" s="23"/>
      <c r="Z111" s="23"/>
      <c r="AA111" s="23"/>
      <c r="AB111" s="23"/>
      <c r="AC111" s="36"/>
      <c r="AD111" s="36"/>
      <c r="AE111" s="23"/>
      <c r="AF111" s="23"/>
      <c r="AG111" s="23"/>
      <c r="AH111" s="23"/>
      <c r="AI111" s="23"/>
      <c r="AJ111" s="23"/>
      <c r="AK111" s="23"/>
    </row>
    <row r="112" spans="1:37" hidden="1" x14ac:dyDescent="0.3">
      <c r="B112" s="23" t="s">
        <v>846</v>
      </c>
      <c r="C112" s="34"/>
      <c r="D112" s="23"/>
      <c r="E112" s="23"/>
      <c r="F112" s="23"/>
      <c r="G112" s="35"/>
      <c r="H112" s="36"/>
      <c r="I112" s="36"/>
      <c r="J112" s="35"/>
      <c r="K112" s="35"/>
      <c r="L112" s="37" t="s">
        <v>420</v>
      </c>
      <c r="M112" s="28" t="s">
        <v>505</v>
      </c>
      <c r="N112" s="37"/>
      <c r="O112" s="28"/>
      <c r="P112" s="37"/>
      <c r="Q112" s="28" t="s">
        <v>506</v>
      </c>
      <c r="R112" s="38">
        <v>37653</v>
      </c>
      <c r="S112" s="38">
        <v>38292</v>
      </c>
      <c r="T112" s="39">
        <v>22</v>
      </c>
      <c r="U112" s="40">
        <v>0</v>
      </c>
      <c r="V112" s="40">
        <v>0</v>
      </c>
      <c r="W112" s="40"/>
      <c r="X112" s="23"/>
      <c r="Y112" s="23"/>
      <c r="Z112" s="23"/>
      <c r="AA112" s="23"/>
      <c r="AB112" s="23"/>
      <c r="AC112" s="36"/>
      <c r="AD112" s="36"/>
      <c r="AE112" s="23"/>
      <c r="AF112" s="23"/>
      <c r="AG112" s="23"/>
      <c r="AH112" s="23"/>
      <c r="AI112" s="23"/>
      <c r="AJ112" s="23"/>
      <c r="AK112" s="23"/>
    </row>
    <row r="113" spans="1:37" hidden="1" x14ac:dyDescent="0.3">
      <c r="B113" s="23" t="s">
        <v>846</v>
      </c>
      <c r="C113" s="34"/>
      <c r="D113" s="23"/>
      <c r="E113" s="23"/>
      <c r="F113" s="23"/>
      <c r="G113" s="35"/>
      <c r="H113" s="36"/>
      <c r="I113" s="36"/>
      <c r="J113" s="35"/>
      <c r="K113" s="35"/>
      <c r="L113" s="37" t="s">
        <v>420</v>
      </c>
      <c r="M113" s="28" t="s">
        <v>507</v>
      </c>
      <c r="N113" s="37"/>
      <c r="O113" s="28"/>
      <c r="P113" s="37"/>
      <c r="Q113" s="28" t="s">
        <v>506</v>
      </c>
      <c r="R113" s="38">
        <v>37196</v>
      </c>
      <c r="S113" s="38">
        <v>37622</v>
      </c>
      <c r="T113" s="39">
        <v>15</v>
      </c>
      <c r="U113" s="40">
        <v>0</v>
      </c>
      <c r="V113" s="40">
        <v>0</v>
      </c>
      <c r="W113" s="40"/>
      <c r="X113" s="23"/>
      <c r="Y113" s="23"/>
      <c r="Z113" s="23"/>
      <c r="AA113" s="23"/>
      <c r="AB113" s="23"/>
      <c r="AC113" s="36"/>
      <c r="AD113" s="36"/>
      <c r="AE113" s="23"/>
      <c r="AF113" s="23"/>
      <c r="AG113" s="23"/>
      <c r="AH113" s="23"/>
      <c r="AI113" s="23"/>
      <c r="AJ113" s="23"/>
      <c r="AK113" s="23"/>
    </row>
    <row r="114" spans="1:37" hidden="1" x14ac:dyDescent="0.3">
      <c r="B114" s="23" t="s">
        <v>846</v>
      </c>
      <c r="C114" s="34"/>
      <c r="D114" s="23"/>
      <c r="E114" s="23"/>
      <c r="F114" s="23"/>
      <c r="G114" s="35"/>
      <c r="H114" s="36"/>
      <c r="I114" s="36"/>
      <c r="J114" s="35"/>
      <c r="K114" s="35"/>
      <c r="L114" s="37" t="s">
        <v>173</v>
      </c>
      <c r="M114" s="28" t="s">
        <v>508</v>
      </c>
      <c r="N114" s="37"/>
      <c r="O114" s="28"/>
      <c r="P114" s="37"/>
      <c r="Q114" s="28" t="s">
        <v>506</v>
      </c>
      <c r="R114" s="38">
        <v>36192</v>
      </c>
      <c r="S114" s="38">
        <v>37012</v>
      </c>
      <c r="T114" s="39">
        <v>28</v>
      </c>
      <c r="U114" s="40">
        <v>0</v>
      </c>
      <c r="V114" s="40">
        <v>5</v>
      </c>
      <c r="W114" s="40"/>
      <c r="X114" s="23"/>
      <c r="Y114" s="23"/>
      <c r="Z114" s="23"/>
      <c r="AA114" s="23"/>
      <c r="AB114" s="23"/>
      <c r="AC114" s="36"/>
      <c r="AD114" s="36"/>
      <c r="AE114" s="23"/>
      <c r="AF114" s="23"/>
      <c r="AG114" s="23"/>
      <c r="AH114" s="23"/>
      <c r="AI114" s="23"/>
      <c r="AJ114" s="23"/>
      <c r="AK114" s="23"/>
    </row>
    <row r="115" spans="1:37" hidden="1" x14ac:dyDescent="0.3">
      <c r="B115" s="23" t="s">
        <v>846</v>
      </c>
      <c r="C115" s="34"/>
      <c r="D115" s="23"/>
      <c r="E115" s="23"/>
      <c r="F115" s="23"/>
      <c r="G115" s="35"/>
      <c r="H115" s="36"/>
      <c r="I115" s="36"/>
      <c r="J115" s="35"/>
      <c r="K115" s="35"/>
      <c r="L115" s="37" t="s">
        <v>94</v>
      </c>
      <c r="M115" s="28" t="s">
        <v>509</v>
      </c>
      <c r="N115" s="37"/>
      <c r="O115" s="28"/>
      <c r="P115" s="37"/>
      <c r="Q115" s="28" t="s">
        <v>506</v>
      </c>
      <c r="R115" s="38">
        <v>35551</v>
      </c>
      <c r="S115" s="38">
        <v>36192</v>
      </c>
      <c r="T115" s="39">
        <v>22</v>
      </c>
      <c r="U115" s="40">
        <v>1</v>
      </c>
      <c r="V115" s="40">
        <v>0</v>
      </c>
      <c r="W115" s="40"/>
      <c r="X115" s="23"/>
      <c r="Y115" s="23"/>
      <c r="Z115" s="23"/>
      <c r="AA115" s="23"/>
      <c r="AB115" s="23"/>
      <c r="AC115" s="36"/>
      <c r="AD115" s="36"/>
      <c r="AE115" s="23"/>
      <c r="AF115" s="23"/>
      <c r="AG115" s="23"/>
      <c r="AH115" s="23"/>
      <c r="AI115" s="23"/>
      <c r="AJ115" s="23"/>
      <c r="AK115" s="23"/>
    </row>
    <row r="116" spans="1:37" hidden="1" x14ac:dyDescent="0.3">
      <c r="B116" s="23" t="s">
        <v>851</v>
      </c>
      <c r="C116" s="34"/>
      <c r="D116" s="23"/>
      <c r="E116" s="23"/>
      <c r="F116" s="23"/>
      <c r="G116" s="35"/>
      <c r="H116" s="36"/>
      <c r="I116" s="36"/>
      <c r="J116" s="35"/>
      <c r="K116" s="35"/>
      <c r="L116" s="37" t="s">
        <v>499</v>
      </c>
      <c r="M116" s="28" t="s">
        <v>510</v>
      </c>
      <c r="N116" s="37"/>
      <c r="O116" s="28"/>
      <c r="P116" s="37"/>
      <c r="Q116" s="28" t="s">
        <v>506</v>
      </c>
      <c r="R116" s="38">
        <v>34182</v>
      </c>
      <c r="S116" s="38">
        <v>35551</v>
      </c>
      <c r="T116" s="39">
        <v>46</v>
      </c>
      <c r="U116" s="40">
        <v>1</v>
      </c>
      <c r="V116" s="40">
        <v>0</v>
      </c>
      <c r="W116" s="40"/>
      <c r="X116" s="23"/>
      <c r="Y116" s="23"/>
      <c r="Z116" s="23"/>
      <c r="AA116" s="23"/>
      <c r="AB116" s="23"/>
      <c r="AC116" s="36"/>
      <c r="AD116" s="36"/>
      <c r="AE116" s="23"/>
      <c r="AF116" s="23"/>
      <c r="AG116" s="23"/>
      <c r="AH116" s="23"/>
      <c r="AI116" s="23"/>
      <c r="AJ116" s="23"/>
      <c r="AK116" s="23"/>
    </row>
    <row r="117" spans="1:37" hidden="1" x14ac:dyDescent="0.3">
      <c r="B117" s="23" t="s">
        <v>846</v>
      </c>
      <c r="C117" s="34"/>
      <c r="D117" s="23"/>
      <c r="E117" s="23"/>
      <c r="F117" s="23"/>
      <c r="G117" s="35"/>
      <c r="H117" s="36"/>
      <c r="I117" s="36"/>
      <c r="J117" s="35"/>
      <c r="K117" s="35"/>
      <c r="L117" s="37" t="s">
        <v>94</v>
      </c>
      <c r="M117" s="28" t="s">
        <v>511</v>
      </c>
      <c r="N117" s="37"/>
      <c r="O117" s="28"/>
      <c r="P117" s="37"/>
      <c r="Q117" s="28" t="s">
        <v>512</v>
      </c>
      <c r="R117" s="38">
        <v>32813</v>
      </c>
      <c r="S117" s="38">
        <v>33178</v>
      </c>
      <c r="T117" s="39">
        <v>13</v>
      </c>
      <c r="U117" s="40">
        <v>0</v>
      </c>
      <c r="V117" s="40">
        <v>32</v>
      </c>
      <c r="W117" s="40"/>
      <c r="X117" s="23"/>
      <c r="Y117" s="23"/>
      <c r="Z117" s="23"/>
      <c r="AA117" s="23"/>
      <c r="AB117" s="23"/>
      <c r="AC117" s="36"/>
      <c r="AD117" s="36"/>
      <c r="AE117" s="23"/>
      <c r="AF117" s="23"/>
      <c r="AG117" s="23"/>
      <c r="AH117" s="23"/>
      <c r="AI117" s="23"/>
      <c r="AJ117" s="23"/>
      <c r="AK117" s="23"/>
    </row>
    <row r="118" spans="1:37" hidden="1" x14ac:dyDescent="0.3">
      <c r="B118" s="23" t="s">
        <v>850</v>
      </c>
      <c r="C118" s="34"/>
      <c r="D118" s="23"/>
      <c r="E118" s="23"/>
      <c r="F118" s="23"/>
      <c r="G118" s="35"/>
      <c r="H118" s="36"/>
      <c r="I118" s="36"/>
      <c r="J118" s="35"/>
      <c r="K118" s="35"/>
      <c r="L118" s="37" t="s">
        <v>420</v>
      </c>
      <c r="M118" s="28" t="s">
        <v>513</v>
      </c>
      <c r="N118" s="37"/>
      <c r="O118" s="28"/>
      <c r="P118" s="37"/>
      <c r="Q118" s="28" t="s">
        <v>514</v>
      </c>
      <c r="R118" s="35">
        <v>31444</v>
      </c>
      <c r="S118" s="35">
        <v>32782</v>
      </c>
      <c r="T118" s="39">
        <v>45</v>
      </c>
      <c r="U118" s="40">
        <v>0</v>
      </c>
      <c r="V118" s="40">
        <v>0</v>
      </c>
      <c r="W118" s="40"/>
      <c r="X118" s="23"/>
      <c r="Y118" s="23"/>
      <c r="Z118" s="23"/>
      <c r="AA118" s="23"/>
      <c r="AB118" s="23"/>
      <c r="AC118" s="36"/>
      <c r="AD118" s="36"/>
      <c r="AE118" s="23"/>
      <c r="AF118" s="23"/>
      <c r="AG118" s="23"/>
      <c r="AH118" s="23"/>
      <c r="AI118" s="23"/>
      <c r="AJ118" s="23"/>
      <c r="AK118" s="23"/>
    </row>
    <row r="119" spans="1:37" hidden="1" x14ac:dyDescent="0.3">
      <c r="B119" s="23" t="s">
        <v>846</v>
      </c>
      <c r="C119" s="34"/>
      <c r="D119" s="23"/>
      <c r="E119" s="23"/>
      <c r="F119" s="23"/>
      <c r="G119" s="35"/>
      <c r="H119" s="36"/>
      <c r="I119" s="36"/>
      <c r="J119" s="35"/>
      <c r="K119" s="35"/>
      <c r="L119" s="37" t="s">
        <v>515</v>
      </c>
      <c r="M119" s="28" t="s">
        <v>516</v>
      </c>
      <c r="N119" s="37"/>
      <c r="O119" s="28"/>
      <c r="P119" s="37"/>
      <c r="Q119" s="28" t="s">
        <v>517</v>
      </c>
      <c r="R119" s="38">
        <v>30133</v>
      </c>
      <c r="S119" s="38">
        <v>31079</v>
      </c>
      <c r="T119" s="39">
        <v>32</v>
      </c>
      <c r="U119" s="40">
        <v>0</v>
      </c>
      <c r="V119" s="40">
        <v>11</v>
      </c>
      <c r="W119" s="40"/>
      <c r="X119" s="23"/>
      <c r="Y119" s="23"/>
      <c r="Z119" s="23"/>
      <c r="AA119" s="23"/>
      <c r="AB119" s="23"/>
      <c r="AC119" s="36"/>
      <c r="AD119" s="36"/>
      <c r="AE119" s="23"/>
      <c r="AF119" s="23"/>
      <c r="AG119" s="23"/>
      <c r="AH119" s="23"/>
      <c r="AI119" s="23"/>
      <c r="AJ119" s="23"/>
      <c r="AK119" s="23"/>
    </row>
    <row r="120" spans="1:37" hidden="1" x14ac:dyDescent="0.3">
      <c r="B120" s="23"/>
      <c r="C120" s="34"/>
      <c r="D120" s="23"/>
      <c r="E120" s="23"/>
      <c r="F120" s="23"/>
      <c r="G120" s="35"/>
      <c r="H120" s="36"/>
      <c r="I120" s="36"/>
      <c r="J120" s="35"/>
      <c r="K120" s="35"/>
      <c r="L120" s="37"/>
      <c r="M120" s="28"/>
      <c r="N120" s="37"/>
      <c r="O120" s="28"/>
      <c r="P120" s="37"/>
      <c r="Q120" s="28"/>
      <c r="R120" s="38"/>
      <c r="S120" s="38"/>
      <c r="T120" s="39"/>
      <c r="U120" s="40"/>
      <c r="V120" s="40"/>
      <c r="W120" s="40"/>
      <c r="X120" s="23"/>
      <c r="Y120" s="23"/>
      <c r="Z120" s="23"/>
      <c r="AA120" s="23"/>
      <c r="AB120" s="23"/>
      <c r="AC120" s="36"/>
      <c r="AD120" s="36"/>
      <c r="AE120" s="23"/>
      <c r="AF120" s="23"/>
      <c r="AG120" s="23"/>
      <c r="AH120" s="23"/>
      <c r="AI120" s="23"/>
      <c r="AJ120" s="23"/>
      <c r="AK120" s="23"/>
    </row>
    <row r="121" spans="1:37" x14ac:dyDescent="0.3">
      <c r="A121">
        <v>8</v>
      </c>
      <c r="B121" s="23" t="s">
        <v>518</v>
      </c>
      <c r="C121" s="34">
        <v>25260</v>
      </c>
      <c r="D121" s="23" t="s">
        <v>50</v>
      </c>
      <c r="E121" s="23" t="s">
        <v>519</v>
      </c>
      <c r="F121" s="23" t="s">
        <v>51</v>
      </c>
      <c r="G121" s="35">
        <v>41091</v>
      </c>
      <c r="H121" s="43">
        <v>10.5</v>
      </c>
      <c r="I121" s="36" t="s">
        <v>520</v>
      </c>
      <c r="J121" s="35">
        <v>44062</v>
      </c>
      <c r="K121" s="35" t="s">
        <v>852</v>
      </c>
      <c r="L121" s="24" t="s">
        <v>176</v>
      </c>
      <c r="M121" s="24" t="s">
        <v>177</v>
      </c>
      <c r="N121" s="25"/>
      <c r="O121" s="24"/>
      <c r="P121" s="23"/>
      <c r="Q121" s="23" t="s">
        <v>178</v>
      </c>
      <c r="R121" s="31">
        <v>43101</v>
      </c>
      <c r="S121" s="31">
        <v>43952</v>
      </c>
      <c r="T121" s="39">
        <v>29</v>
      </c>
      <c r="U121" s="40">
        <v>0</v>
      </c>
      <c r="V121" s="40">
        <v>0</v>
      </c>
      <c r="W121" s="40"/>
      <c r="X121" s="23">
        <v>7</v>
      </c>
      <c r="Y121" s="23">
        <v>6</v>
      </c>
      <c r="Z121" s="23"/>
      <c r="AA121" s="23" t="s">
        <v>419</v>
      </c>
      <c r="AB121" s="23" t="s">
        <v>417</v>
      </c>
      <c r="AC121" s="36">
        <v>29.83</v>
      </c>
      <c r="AD121" s="36">
        <v>0</v>
      </c>
      <c r="AE121" s="23">
        <v>0</v>
      </c>
      <c r="AF121" s="23">
        <v>0</v>
      </c>
      <c r="AG121" s="23">
        <v>5</v>
      </c>
      <c r="AH121" s="23">
        <v>0</v>
      </c>
      <c r="AI121" s="23">
        <v>13.25</v>
      </c>
      <c r="AJ121" s="36">
        <v>4.42</v>
      </c>
      <c r="AK121" s="23">
        <v>2</v>
      </c>
    </row>
    <row r="122" spans="1:37" hidden="1" x14ac:dyDescent="0.3">
      <c r="B122" s="23" t="s">
        <v>518</v>
      </c>
      <c r="C122" s="34"/>
      <c r="D122" s="23"/>
      <c r="E122" s="23"/>
      <c r="F122" s="23"/>
      <c r="G122" s="35"/>
      <c r="H122" s="36"/>
      <c r="I122" s="36"/>
      <c r="J122" s="35"/>
      <c r="K122" s="35"/>
      <c r="L122" s="27" t="s">
        <v>153</v>
      </c>
      <c r="M122" s="27" t="s">
        <v>179</v>
      </c>
      <c r="N122" s="24"/>
      <c r="O122" s="24" t="s">
        <v>521</v>
      </c>
      <c r="P122" s="23" t="s">
        <v>66</v>
      </c>
      <c r="Q122" s="23" t="s">
        <v>178</v>
      </c>
      <c r="R122" s="31">
        <v>42370</v>
      </c>
      <c r="S122" s="31">
        <v>43070</v>
      </c>
      <c r="T122" s="39">
        <v>24</v>
      </c>
      <c r="U122" s="40">
        <v>0</v>
      </c>
      <c r="V122" s="40">
        <v>2</v>
      </c>
      <c r="W122" s="40"/>
      <c r="X122" s="23"/>
      <c r="Y122" s="23"/>
      <c r="Z122" s="23"/>
      <c r="AA122" s="23"/>
      <c r="AB122" s="23"/>
      <c r="AC122" s="36"/>
      <c r="AD122" s="36"/>
      <c r="AE122" s="23"/>
      <c r="AF122" s="23"/>
      <c r="AG122" s="23"/>
      <c r="AH122" s="23"/>
      <c r="AI122" s="23"/>
      <c r="AJ122" s="36"/>
      <c r="AK122" s="23"/>
    </row>
    <row r="123" spans="1:37" ht="33" hidden="1" x14ac:dyDescent="0.3">
      <c r="B123" s="23" t="s">
        <v>518</v>
      </c>
      <c r="C123" s="34"/>
      <c r="D123" s="23"/>
      <c r="E123" s="23"/>
      <c r="F123" s="23"/>
      <c r="G123" s="35"/>
      <c r="H123" s="36"/>
      <c r="I123" s="36"/>
      <c r="J123" s="35"/>
      <c r="K123" s="35"/>
      <c r="L123" s="27" t="s">
        <v>486</v>
      </c>
      <c r="M123" s="27" t="s">
        <v>180</v>
      </c>
      <c r="N123" s="24"/>
      <c r="O123" s="24" t="s">
        <v>522</v>
      </c>
      <c r="P123" s="23" t="s">
        <v>67</v>
      </c>
      <c r="Q123" s="23" t="s">
        <v>178</v>
      </c>
      <c r="R123" s="31">
        <v>41275</v>
      </c>
      <c r="S123" s="31">
        <v>42278</v>
      </c>
      <c r="T123" s="39">
        <v>34</v>
      </c>
      <c r="U123" s="40">
        <v>0</v>
      </c>
      <c r="V123" s="40">
        <v>0</v>
      </c>
      <c r="W123" s="40"/>
      <c r="X123" s="23"/>
      <c r="Y123" s="23"/>
      <c r="Z123" s="23"/>
      <c r="AA123" s="23"/>
      <c r="AB123" s="23"/>
      <c r="AC123" s="36"/>
      <c r="AD123" s="36"/>
      <c r="AE123" s="23"/>
      <c r="AF123" s="23"/>
      <c r="AG123" s="23"/>
      <c r="AH123" s="23"/>
      <c r="AI123" s="23"/>
      <c r="AJ123" s="36"/>
      <c r="AK123" s="23"/>
    </row>
    <row r="124" spans="1:37" ht="33" hidden="1" x14ac:dyDescent="0.3">
      <c r="B124" s="23" t="s">
        <v>518</v>
      </c>
      <c r="C124" s="34"/>
      <c r="D124" s="23"/>
      <c r="E124" s="23"/>
      <c r="F124" s="23"/>
      <c r="G124" s="35"/>
      <c r="H124" s="36"/>
      <c r="I124" s="36"/>
      <c r="J124" s="35"/>
      <c r="K124" s="35"/>
      <c r="L124" s="27" t="s">
        <v>486</v>
      </c>
      <c r="M124" s="27" t="s">
        <v>181</v>
      </c>
      <c r="N124" s="24"/>
      <c r="O124" s="24" t="s">
        <v>523</v>
      </c>
      <c r="P124" s="23" t="s">
        <v>66</v>
      </c>
      <c r="Q124" s="23" t="s">
        <v>182</v>
      </c>
      <c r="R124" s="31">
        <v>40179</v>
      </c>
      <c r="S124" s="31">
        <v>41244</v>
      </c>
      <c r="T124" s="39">
        <v>36</v>
      </c>
      <c r="U124" s="40">
        <v>0</v>
      </c>
      <c r="V124" s="40">
        <v>0</v>
      </c>
      <c r="W124" s="40"/>
      <c r="X124" s="23"/>
      <c r="Y124" s="23"/>
      <c r="Z124" s="23"/>
      <c r="AA124" s="23"/>
      <c r="AB124" s="23"/>
      <c r="AC124" s="36"/>
      <c r="AD124" s="36"/>
      <c r="AE124" s="23"/>
      <c r="AF124" s="23"/>
      <c r="AG124" s="23"/>
      <c r="AH124" s="23"/>
      <c r="AI124" s="23"/>
      <c r="AJ124" s="36"/>
      <c r="AK124" s="23"/>
    </row>
    <row r="125" spans="1:37" ht="33" hidden="1" x14ac:dyDescent="0.3">
      <c r="B125" s="23" t="s">
        <v>518</v>
      </c>
      <c r="C125" s="34"/>
      <c r="D125" s="23"/>
      <c r="E125" s="23"/>
      <c r="F125" s="23"/>
      <c r="G125" s="35"/>
      <c r="H125" s="36"/>
      <c r="I125" s="36"/>
      <c r="J125" s="35"/>
      <c r="K125" s="35"/>
      <c r="L125" s="24" t="s">
        <v>486</v>
      </c>
      <c r="M125" s="24" t="s">
        <v>183</v>
      </c>
      <c r="N125" s="44"/>
      <c r="O125" s="24" t="s">
        <v>524</v>
      </c>
      <c r="P125" s="23" t="s">
        <v>67</v>
      </c>
      <c r="Q125" s="23" t="s">
        <v>178</v>
      </c>
      <c r="R125" s="31">
        <v>39448</v>
      </c>
      <c r="S125" s="31">
        <v>40148</v>
      </c>
      <c r="T125" s="39">
        <v>24</v>
      </c>
      <c r="U125" s="40">
        <v>0</v>
      </c>
      <c r="V125" s="40">
        <v>0</v>
      </c>
      <c r="W125" s="40"/>
      <c r="X125" s="23"/>
      <c r="Y125" s="23"/>
      <c r="Z125" s="23"/>
      <c r="AA125" s="23"/>
      <c r="AB125" s="23"/>
      <c r="AC125" s="36"/>
      <c r="AD125" s="36"/>
      <c r="AE125" s="23"/>
      <c r="AF125" s="23"/>
      <c r="AG125" s="23"/>
      <c r="AH125" s="23"/>
      <c r="AI125" s="23"/>
      <c r="AJ125" s="36"/>
      <c r="AK125" s="23"/>
    </row>
    <row r="126" spans="1:37" ht="33" hidden="1" x14ac:dyDescent="0.3">
      <c r="B126" s="23" t="s">
        <v>518</v>
      </c>
      <c r="C126" s="34"/>
      <c r="D126" s="23"/>
      <c r="E126" s="23"/>
      <c r="F126" s="23"/>
      <c r="G126" s="35"/>
      <c r="H126" s="36"/>
      <c r="I126" s="36"/>
      <c r="J126" s="35"/>
      <c r="K126" s="35"/>
      <c r="L126" s="24" t="s">
        <v>486</v>
      </c>
      <c r="M126" s="24" t="s">
        <v>184</v>
      </c>
      <c r="N126" s="25"/>
      <c r="O126" s="27" t="s">
        <v>523</v>
      </c>
      <c r="P126" s="23" t="s">
        <v>67</v>
      </c>
      <c r="Q126" s="23" t="s">
        <v>182</v>
      </c>
      <c r="R126" s="31">
        <v>38353</v>
      </c>
      <c r="S126" s="31">
        <v>39417</v>
      </c>
      <c r="T126" s="39">
        <v>36</v>
      </c>
      <c r="U126" s="40">
        <v>0</v>
      </c>
      <c r="V126" s="40">
        <v>0</v>
      </c>
      <c r="W126" s="40"/>
      <c r="X126" s="23"/>
      <c r="Y126" s="23"/>
      <c r="Z126" s="23"/>
      <c r="AA126" s="23"/>
      <c r="AB126" s="23"/>
      <c r="AC126" s="36"/>
      <c r="AD126" s="36"/>
      <c r="AE126" s="23"/>
      <c r="AF126" s="23"/>
      <c r="AG126" s="23"/>
      <c r="AH126" s="23"/>
      <c r="AI126" s="23"/>
      <c r="AJ126" s="36"/>
      <c r="AK126" s="23"/>
    </row>
    <row r="127" spans="1:37" ht="33" hidden="1" x14ac:dyDescent="0.3">
      <c r="B127" s="23" t="s">
        <v>518</v>
      </c>
      <c r="C127" s="34"/>
      <c r="D127" s="23"/>
      <c r="E127" s="23"/>
      <c r="F127" s="23"/>
      <c r="G127" s="35"/>
      <c r="H127" s="36"/>
      <c r="I127" s="36"/>
      <c r="J127" s="35"/>
      <c r="K127" s="35"/>
      <c r="L127" s="27" t="s">
        <v>486</v>
      </c>
      <c r="M127" s="27" t="s">
        <v>185</v>
      </c>
      <c r="N127" s="24"/>
      <c r="O127" s="27" t="s">
        <v>523</v>
      </c>
      <c r="P127" s="23" t="s">
        <v>186</v>
      </c>
      <c r="Q127" s="23" t="s">
        <v>182</v>
      </c>
      <c r="R127" s="31">
        <v>38108</v>
      </c>
      <c r="S127" s="31">
        <v>38322</v>
      </c>
      <c r="T127" s="39">
        <v>8</v>
      </c>
      <c r="U127" s="40">
        <v>0</v>
      </c>
      <c r="V127" s="40">
        <v>0</v>
      </c>
      <c r="W127" s="40"/>
      <c r="X127" s="23"/>
      <c r="Y127" s="23"/>
      <c r="Z127" s="23"/>
      <c r="AA127" s="23"/>
      <c r="AB127" s="23"/>
      <c r="AC127" s="36"/>
      <c r="AD127" s="36"/>
      <c r="AE127" s="23"/>
      <c r="AF127" s="23"/>
      <c r="AG127" s="23"/>
      <c r="AH127" s="23"/>
      <c r="AI127" s="23"/>
      <c r="AJ127" s="36"/>
      <c r="AK127" s="23"/>
    </row>
    <row r="128" spans="1:37" ht="33" hidden="1" x14ac:dyDescent="0.3">
      <c r="B128" s="23" t="s">
        <v>518</v>
      </c>
      <c r="C128" s="34"/>
      <c r="D128" s="23"/>
      <c r="E128" s="23"/>
      <c r="F128" s="23"/>
      <c r="G128" s="35"/>
      <c r="H128" s="36"/>
      <c r="I128" s="36"/>
      <c r="J128" s="35"/>
      <c r="K128" s="35"/>
      <c r="L128" s="27" t="s">
        <v>486</v>
      </c>
      <c r="M128" s="27" t="s">
        <v>187</v>
      </c>
      <c r="N128" s="24"/>
      <c r="O128" s="24" t="s">
        <v>521</v>
      </c>
      <c r="P128" s="23" t="s">
        <v>66</v>
      </c>
      <c r="Q128" s="23" t="s">
        <v>182</v>
      </c>
      <c r="R128" s="31">
        <v>36892</v>
      </c>
      <c r="S128" s="31">
        <v>38078</v>
      </c>
      <c r="T128" s="39">
        <v>40</v>
      </c>
      <c r="U128" s="40">
        <v>0</v>
      </c>
      <c r="V128" s="40">
        <v>0</v>
      </c>
      <c r="W128" s="40"/>
      <c r="X128" s="23"/>
      <c r="Y128" s="23"/>
      <c r="Z128" s="23"/>
      <c r="AA128" s="23"/>
      <c r="AB128" s="23"/>
      <c r="AC128" s="36"/>
      <c r="AD128" s="36"/>
      <c r="AE128" s="23"/>
      <c r="AF128" s="23"/>
      <c r="AG128" s="23"/>
      <c r="AH128" s="23"/>
      <c r="AI128" s="23"/>
      <c r="AJ128" s="36"/>
      <c r="AK128" s="23"/>
    </row>
    <row r="129" spans="1:37" ht="33" hidden="1" x14ac:dyDescent="0.3">
      <c r="B129" s="23" t="s">
        <v>518</v>
      </c>
      <c r="C129" s="34"/>
      <c r="D129" s="23"/>
      <c r="E129" s="23"/>
      <c r="F129" s="23"/>
      <c r="G129" s="35"/>
      <c r="H129" s="36"/>
      <c r="I129" s="36"/>
      <c r="J129" s="35"/>
      <c r="K129" s="35"/>
      <c r="L129" s="25" t="s">
        <v>486</v>
      </c>
      <c r="M129" s="24" t="s">
        <v>189</v>
      </c>
      <c r="N129" s="44"/>
      <c r="O129" s="24" t="s">
        <v>523</v>
      </c>
      <c r="P129" s="23" t="s">
        <v>66</v>
      </c>
      <c r="Q129" s="23" t="s">
        <v>182</v>
      </c>
      <c r="R129" s="31">
        <v>36161</v>
      </c>
      <c r="S129" s="31">
        <v>36861</v>
      </c>
      <c r="T129" s="39">
        <v>24</v>
      </c>
      <c r="U129" s="40">
        <v>10</v>
      </c>
      <c r="V129" s="40">
        <v>0</v>
      </c>
      <c r="W129" s="40"/>
      <c r="X129" s="23"/>
      <c r="Y129" s="23"/>
      <c r="Z129" s="23"/>
      <c r="AA129" s="23"/>
      <c r="AB129" s="23"/>
      <c r="AC129" s="36"/>
      <c r="AD129" s="36"/>
      <c r="AE129" s="23"/>
      <c r="AF129" s="23"/>
      <c r="AG129" s="23"/>
      <c r="AH129" s="23"/>
      <c r="AI129" s="23"/>
      <c r="AJ129" s="36"/>
      <c r="AK129" s="23"/>
    </row>
    <row r="130" spans="1:37" ht="33" hidden="1" x14ac:dyDescent="0.3">
      <c r="B130" s="23" t="s">
        <v>525</v>
      </c>
      <c r="C130" s="34"/>
      <c r="D130" s="23"/>
      <c r="E130" s="23"/>
      <c r="F130" s="23"/>
      <c r="G130" s="35"/>
      <c r="H130" s="36"/>
      <c r="I130" s="36"/>
      <c r="J130" s="35"/>
      <c r="K130" s="35"/>
      <c r="L130" s="27" t="s">
        <v>486</v>
      </c>
      <c r="M130" s="27" t="s">
        <v>190</v>
      </c>
      <c r="N130" s="24"/>
      <c r="O130" s="24" t="s">
        <v>521</v>
      </c>
      <c r="P130" s="23" t="s">
        <v>67</v>
      </c>
      <c r="Q130" s="31" t="s">
        <v>191</v>
      </c>
      <c r="R130" s="31">
        <v>35796</v>
      </c>
      <c r="S130" s="31">
        <v>36434</v>
      </c>
      <c r="T130" s="39">
        <v>22</v>
      </c>
      <c r="U130" s="40">
        <v>0</v>
      </c>
      <c r="V130" s="40">
        <v>0</v>
      </c>
      <c r="W130" s="40"/>
      <c r="X130" s="23"/>
      <c r="Y130" s="23"/>
      <c r="Z130" s="23"/>
      <c r="AA130" s="23"/>
      <c r="AB130" s="23"/>
      <c r="AC130" s="36"/>
      <c r="AD130" s="36"/>
      <c r="AE130" s="23"/>
      <c r="AF130" s="23"/>
      <c r="AG130" s="23"/>
      <c r="AH130" s="23"/>
      <c r="AI130" s="23"/>
      <c r="AJ130" s="36"/>
      <c r="AK130" s="23"/>
    </row>
    <row r="131" spans="1:37" ht="33" hidden="1" x14ac:dyDescent="0.3">
      <c r="B131" s="23" t="s">
        <v>518</v>
      </c>
      <c r="C131" s="34"/>
      <c r="D131" s="23"/>
      <c r="E131" s="23"/>
      <c r="F131" s="23"/>
      <c r="G131" s="35"/>
      <c r="H131" s="36"/>
      <c r="I131" s="36"/>
      <c r="J131" s="35"/>
      <c r="K131" s="35"/>
      <c r="L131" s="27" t="s">
        <v>486</v>
      </c>
      <c r="M131" s="27" t="s">
        <v>192</v>
      </c>
      <c r="N131" s="24"/>
      <c r="O131" s="24" t="s">
        <v>526</v>
      </c>
      <c r="P131" s="23" t="s">
        <v>66</v>
      </c>
      <c r="Q131" s="23" t="s">
        <v>191</v>
      </c>
      <c r="R131" s="31">
        <v>34608</v>
      </c>
      <c r="S131" s="31">
        <v>35765</v>
      </c>
      <c r="T131" s="39">
        <v>39</v>
      </c>
      <c r="U131" s="40">
        <v>0</v>
      </c>
      <c r="V131" s="40">
        <v>1</v>
      </c>
      <c r="W131" s="40"/>
      <c r="X131" s="23"/>
      <c r="Y131" s="23"/>
      <c r="Z131" s="23"/>
      <c r="AA131" s="23"/>
      <c r="AB131" s="23"/>
      <c r="AC131" s="36"/>
      <c r="AD131" s="36"/>
      <c r="AE131" s="23"/>
      <c r="AF131" s="23"/>
      <c r="AG131" s="23"/>
      <c r="AH131" s="23"/>
      <c r="AI131" s="23"/>
      <c r="AJ131" s="36"/>
      <c r="AK131" s="23"/>
    </row>
    <row r="132" spans="1:37" hidden="1" x14ac:dyDescent="0.3">
      <c r="B132" s="23" t="s">
        <v>518</v>
      </c>
      <c r="C132" s="34"/>
      <c r="D132" s="23"/>
      <c r="E132" s="23"/>
      <c r="F132" s="23"/>
      <c r="G132" s="35"/>
      <c r="H132" s="36"/>
      <c r="I132" s="36"/>
      <c r="J132" s="35"/>
      <c r="K132" s="35"/>
      <c r="L132" s="24" t="s">
        <v>486</v>
      </c>
      <c r="M132" s="24" t="s">
        <v>193</v>
      </c>
      <c r="N132" s="25"/>
      <c r="O132" s="24" t="s">
        <v>523</v>
      </c>
      <c r="P132" s="23" t="s">
        <v>67</v>
      </c>
      <c r="Q132" s="23" t="s">
        <v>194</v>
      </c>
      <c r="R132" s="31">
        <v>33725</v>
      </c>
      <c r="S132" s="31">
        <v>34547</v>
      </c>
      <c r="T132" s="39">
        <v>28</v>
      </c>
      <c r="U132" s="40">
        <v>0</v>
      </c>
      <c r="V132" s="40">
        <v>0</v>
      </c>
      <c r="W132" s="40"/>
      <c r="X132" s="23"/>
      <c r="Y132" s="23"/>
      <c r="Z132" s="23"/>
      <c r="AA132" s="23"/>
      <c r="AB132" s="23"/>
      <c r="AC132" s="36"/>
      <c r="AD132" s="36"/>
      <c r="AE132" s="23"/>
      <c r="AF132" s="23"/>
      <c r="AG132" s="23"/>
      <c r="AH132" s="23"/>
      <c r="AI132" s="23"/>
      <c r="AJ132" s="36"/>
      <c r="AK132" s="23"/>
    </row>
    <row r="133" spans="1:37" hidden="1" x14ac:dyDescent="0.3">
      <c r="B133" s="23" t="s">
        <v>518</v>
      </c>
      <c r="C133" s="34"/>
      <c r="D133" s="23"/>
      <c r="E133" s="23"/>
      <c r="F133" s="23"/>
      <c r="G133" s="35"/>
      <c r="H133" s="36"/>
      <c r="I133" s="36"/>
      <c r="J133" s="35"/>
      <c r="K133" s="35"/>
      <c r="L133" s="27" t="s">
        <v>486</v>
      </c>
      <c r="M133" s="27" t="s">
        <v>195</v>
      </c>
      <c r="N133" s="24"/>
      <c r="O133" s="27"/>
      <c r="P133" s="23"/>
      <c r="Q133" s="23" t="s">
        <v>194</v>
      </c>
      <c r="R133" s="31">
        <v>33604</v>
      </c>
      <c r="S133" s="31">
        <v>33695</v>
      </c>
      <c r="T133" s="39">
        <v>4</v>
      </c>
      <c r="U133" s="40">
        <v>0</v>
      </c>
      <c r="V133" s="40">
        <v>0</v>
      </c>
      <c r="W133" s="40"/>
      <c r="X133" s="23"/>
      <c r="Y133" s="23"/>
      <c r="Z133" s="23"/>
      <c r="AA133" s="23"/>
      <c r="AB133" s="23"/>
      <c r="AC133" s="36"/>
      <c r="AD133" s="36"/>
      <c r="AE133" s="23"/>
      <c r="AF133" s="23"/>
      <c r="AG133" s="23"/>
      <c r="AH133" s="23"/>
      <c r="AI133" s="23"/>
      <c r="AJ133" s="36"/>
      <c r="AK133" s="23"/>
    </row>
    <row r="134" spans="1:37" hidden="1" x14ac:dyDescent="0.3">
      <c r="B134" s="23" t="s">
        <v>518</v>
      </c>
      <c r="C134" s="34"/>
      <c r="D134" s="23"/>
      <c r="E134" s="23"/>
      <c r="F134" s="23"/>
      <c r="G134" s="35"/>
      <c r="H134" s="36"/>
      <c r="I134" s="36"/>
      <c r="J134" s="35"/>
      <c r="K134" s="35"/>
      <c r="L134" s="27" t="s">
        <v>486</v>
      </c>
      <c r="M134" s="27" t="s">
        <v>196</v>
      </c>
      <c r="N134" s="24"/>
      <c r="O134" s="27"/>
      <c r="P134" s="23"/>
      <c r="Q134" s="23" t="s">
        <v>194</v>
      </c>
      <c r="R134" s="31">
        <v>33298</v>
      </c>
      <c r="S134" s="31">
        <v>33573</v>
      </c>
      <c r="T134" s="39">
        <v>10</v>
      </c>
      <c r="U134" s="40">
        <v>0</v>
      </c>
      <c r="V134" s="40">
        <v>0</v>
      </c>
      <c r="W134" s="40"/>
      <c r="X134" s="23"/>
      <c r="Y134" s="23"/>
      <c r="Z134" s="23"/>
      <c r="AA134" s="23"/>
      <c r="AB134" s="23"/>
      <c r="AC134" s="36"/>
      <c r="AD134" s="36"/>
      <c r="AE134" s="23"/>
      <c r="AF134" s="23"/>
      <c r="AG134" s="23"/>
      <c r="AH134" s="23"/>
      <c r="AI134" s="23"/>
      <c r="AJ134" s="36"/>
      <c r="AK134" s="23"/>
    </row>
    <row r="135" spans="1:37" hidden="1" x14ac:dyDescent="0.3">
      <c r="B135" s="23"/>
      <c r="C135" s="34"/>
      <c r="D135" s="23"/>
      <c r="E135" s="23"/>
      <c r="F135" s="23"/>
      <c r="G135" s="35"/>
      <c r="H135" s="36"/>
      <c r="I135" s="36"/>
      <c r="J135" s="35"/>
      <c r="K135" s="35"/>
      <c r="L135" s="27"/>
      <c r="M135" s="27"/>
      <c r="N135" s="24"/>
      <c r="O135" s="27"/>
      <c r="P135" s="23"/>
      <c r="Q135" s="23"/>
      <c r="R135" s="31"/>
      <c r="S135" s="31"/>
      <c r="T135" s="39"/>
      <c r="U135" s="40"/>
      <c r="V135" s="40"/>
      <c r="W135" s="40"/>
      <c r="X135" s="23"/>
      <c r="Y135" s="23"/>
      <c r="Z135" s="23"/>
      <c r="AA135" s="23"/>
      <c r="AB135" s="23"/>
      <c r="AC135" s="36"/>
      <c r="AD135" s="36"/>
      <c r="AE135" s="23"/>
      <c r="AF135" s="23"/>
      <c r="AG135" s="23"/>
      <c r="AH135" s="23"/>
      <c r="AI135" s="23"/>
      <c r="AJ135" s="36"/>
      <c r="AK135" s="23"/>
    </row>
    <row r="136" spans="1:37" x14ac:dyDescent="0.3">
      <c r="A136">
        <v>9</v>
      </c>
      <c r="B136" s="23" t="s">
        <v>527</v>
      </c>
      <c r="C136" s="34">
        <v>21442</v>
      </c>
      <c r="D136" s="23" t="s">
        <v>528</v>
      </c>
      <c r="E136" s="23" t="s">
        <v>519</v>
      </c>
      <c r="F136" s="23" t="s">
        <v>474</v>
      </c>
      <c r="G136" s="35">
        <v>43556</v>
      </c>
      <c r="H136" s="43">
        <v>3.75</v>
      </c>
      <c r="I136" s="36" t="s">
        <v>520</v>
      </c>
      <c r="J136" s="35">
        <v>44925</v>
      </c>
      <c r="K136" s="35" t="s">
        <v>853</v>
      </c>
      <c r="L136" s="27" t="s">
        <v>529</v>
      </c>
      <c r="M136" s="27" t="s">
        <v>530</v>
      </c>
      <c r="N136" s="27"/>
      <c r="O136" s="27"/>
      <c r="P136" s="27"/>
      <c r="Q136" s="27"/>
      <c r="R136" s="41">
        <v>43570</v>
      </c>
      <c r="S136" s="31">
        <v>44391</v>
      </c>
      <c r="T136" s="39">
        <v>27</v>
      </c>
      <c r="U136" s="40">
        <v>0</v>
      </c>
      <c r="V136" s="40">
        <v>5</v>
      </c>
      <c r="W136" s="40"/>
      <c r="X136" s="23"/>
      <c r="Y136" s="23"/>
      <c r="Z136" s="23"/>
      <c r="AA136" s="23" t="s">
        <v>61</v>
      </c>
      <c r="AB136" s="23" t="s">
        <v>417</v>
      </c>
      <c r="AC136" s="36">
        <v>33.83</v>
      </c>
      <c r="AD136" s="36">
        <v>19.829999999999998</v>
      </c>
      <c r="AE136" s="23">
        <v>7</v>
      </c>
      <c r="AF136" s="23">
        <v>0</v>
      </c>
      <c r="AG136" s="23">
        <v>5</v>
      </c>
      <c r="AH136" s="23">
        <v>0</v>
      </c>
      <c r="AI136" s="23">
        <v>11.42</v>
      </c>
      <c r="AJ136" s="36">
        <v>19.670000000000002</v>
      </c>
      <c r="AK136" s="23">
        <v>7</v>
      </c>
    </row>
    <row r="137" spans="1:37" ht="33" hidden="1" x14ac:dyDescent="0.3">
      <c r="B137" s="23" t="s">
        <v>527</v>
      </c>
      <c r="C137" s="34"/>
      <c r="D137" s="23"/>
      <c r="E137" s="23"/>
      <c r="F137" s="23"/>
      <c r="G137" s="35"/>
      <c r="H137" s="36"/>
      <c r="I137" s="36"/>
      <c r="J137" s="35"/>
      <c r="K137" s="35"/>
      <c r="L137" s="24" t="s">
        <v>531</v>
      </c>
      <c r="M137" s="24" t="s">
        <v>532</v>
      </c>
      <c r="N137" s="25"/>
      <c r="O137" s="24" t="s">
        <v>533</v>
      </c>
      <c r="P137" s="23"/>
      <c r="Q137" s="23" t="s">
        <v>534</v>
      </c>
      <c r="R137" s="31">
        <v>42370</v>
      </c>
      <c r="S137" s="31">
        <v>43374</v>
      </c>
      <c r="T137" s="39">
        <v>34</v>
      </c>
      <c r="U137" s="40">
        <v>0</v>
      </c>
      <c r="V137" s="40">
        <v>0</v>
      </c>
      <c r="W137" s="40"/>
      <c r="X137" s="23"/>
      <c r="Y137" s="23"/>
      <c r="Z137" s="23"/>
      <c r="AA137" s="23"/>
      <c r="AB137" s="23"/>
      <c r="AC137" s="36"/>
      <c r="AD137" s="36"/>
      <c r="AE137" s="23"/>
      <c r="AF137" s="23"/>
      <c r="AG137" s="23"/>
      <c r="AH137" s="23"/>
      <c r="AI137" s="23"/>
      <c r="AJ137" s="36"/>
      <c r="AK137" s="23"/>
    </row>
    <row r="138" spans="1:37" ht="33" hidden="1" x14ac:dyDescent="0.3">
      <c r="B138" s="23" t="s">
        <v>527</v>
      </c>
      <c r="C138" s="34"/>
      <c r="D138" s="23"/>
      <c r="E138" s="23"/>
      <c r="F138" s="23"/>
      <c r="G138" s="35"/>
      <c r="H138" s="36"/>
      <c r="I138" s="36"/>
      <c r="J138" s="35"/>
      <c r="K138" s="35"/>
      <c r="L138" s="27" t="s">
        <v>531</v>
      </c>
      <c r="M138" s="27" t="s">
        <v>535</v>
      </c>
      <c r="N138" s="24"/>
      <c r="O138" s="24"/>
      <c r="P138" s="23"/>
      <c r="Q138" s="23" t="s">
        <v>534</v>
      </c>
      <c r="R138" s="31">
        <v>40544</v>
      </c>
      <c r="S138" s="31">
        <v>42339</v>
      </c>
      <c r="T138" s="39">
        <v>60</v>
      </c>
      <c r="U138" s="40">
        <v>0</v>
      </c>
      <c r="V138" s="40">
        <v>0</v>
      </c>
      <c r="W138" s="40"/>
      <c r="X138" s="23"/>
      <c r="Y138" s="23"/>
      <c r="Z138" s="23"/>
      <c r="AA138" s="23"/>
      <c r="AB138" s="23"/>
      <c r="AC138" s="36"/>
      <c r="AD138" s="36"/>
      <c r="AE138" s="23"/>
      <c r="AF138" s="23"/>
      <c r="AG138" s="23"/>
      <c r="AH138" s="23"/>
      <c r="AI138" s="23"/>
      <c r="AJ138" s="36"/>
      <c r="AK138" s="23"/>
    </row>
    <row r="139" spans="1:37" hidden="1" x14ac:dyDescent="0.3">
      <c r="B139" s="23" t="s">
        <v>527</v>
      </c>
      <c r="C139" s="34"/>
      <c r="D139" s="23"/>
      <c r="E139" s="23"/>
      <c r="F139" s="23"/>
      <c r="G139" s="35"/>
      <c r="H139" s="36"/>
      <c r="I139" s="36"/>
      <c r="J139" s="35"/>
      <c r="K139" s="35"/>
      <c r="L139" s="27" t="s">
        <v>536</v>
      </c>
      <c r="M139" s="27" t="s">
        <v>537</v>
      </c>
      <c r="N139" s="24"/>
      <c r="O139" s="24" t="s">
        <v>521</v>
      </c>
      <c r="P139" s="23"/>
      <c r="Q139" s="23" t="s">
        <v>538</v>
      </c>
      <c r="R139" s="31">
        <v>39753</v>
      </c>
      <c r="S139" s="31">
        <v>40513</v>
      </c>
      <c r="T139" s="39">
        <v>26</v>
      </c>
      <c r="U139" s="40">
        <v>0</v>
      </c>
      <c r="V139" s="40">
        <v>17</v>
      </c>
      <c r="W139" s="40"/>
      <c r="X139" s="23"/>
      <c r="Y139" s="23"/>
      <c r="Z139" s="23"/>
      <c r="AA139" s="23"/>
      <c r="AB139" s="23"/>
      <c r="AC139" s="36"/>
      <c r="AD139" s="36"/>
      <c r="AE139" s="23"/>
      <c r="AF139" s="23"/>
      <c r="AG139" s="23"/>
      <c r="AH139" s="23"/>
      <c r="AI139" s="23"/>
      <c r="AJ139" s="36"/>
      <c r="AK139" s="23"/>
    </row>
    <row r="140" spans="1:37" hidden="1" x14ac:dyDescent="0.3">
      <c r="B140" s="23" t="s">
        <v>527</v>
      </c>
      <c r="C140" s="34"/>
      <c r="D140" s="23"/>
      <c r="E140" s="23"/>
      <c r="F140" s="23"/>
      <c r="G140" s="35"/>
      <c r="H140" s="36"/>
      <c r="I140" s="36"/>
      <c r="J140" s="35"/>
      <c r="K140" s="35"/>
      <c r="L140" s="27" t="s">
        <v>536</v>
      </c>
      <c r="M140" s="27" t="s">
        <v>539</v>
      </c>
      <c r="N140" s="24"/>
      <c r="O140" s="24" t="s">
        <v>521</v>
      </c>
      <c r="P140" s="23"/>
      <c r="Q140" s="23" t="s">
        <v>538</v>
      </c>
      <c r="R140" s="31">
        <v>38169</v>
      </c>
      <c r="S140" s="31">
        <v>39203</v>
      </c>
      <c r="T140" s="39">
        <v>35</v>
      </c>
      <c r="U140" s="40">
        <v>0</v>
      </c>
      <c r="V140" s="40">
        <v>0</v>
      </c>
      <c r="W140" s="40"/>
      <c r="X140" s="23"/>
      <c r="Y140" s="23"/>
      <c r="Z140" s="23"/>
      <c r="AA140" s="23"/>
      <c r="AB140" s="23"/>
      <c r="AC140" s="36"/>
      <c r="AD140" s="36"/>
      <c r="AE140" s="23"/>
      <c r="AF140" s="23"/>
      <c r="AG140" s="23"/>
      <c r="AH140" s="23"/>
      <c r="AI140" s="23"/>
      <c r="AJ140" s="36"/>
      <c r="AK140" s="23"/>
    </row>
    <row r="141" spans="1:37" hidden="1" x14ac:dyDescent="0.3">
      <c r="B141" s="23" t="s">
        <v>527</v>
      </c>
      <c r="C141" s="34"/>
      <c r="D141" s="23"/>
      <c r="E141" s="23"/>
      <c r="F141" s="23"/>
      <c r="G141" s="35"/>
      <c r="H141" s="36"/>
      <c r="I141" s="36"/>
      <c r="J141" s="35"/>
      <c r="K141" s="35"/>
      <c r="L141" s="24" t="s">
        <v>540</v>
      </c>
      <c r="M141" s="24" t="s">
        <v>541</v>
      </c>
      <c r="N141" s="44"/>
      <c r="O141" s="24" t="s">
        <v>521</v>
      </c>
      <c r="P141" s="23"/>
      <c r="Q141" s="23" t="s">
        <v>538</v>
      </c>
      <c r="R141" s="31">
        <v>37500</v>
      </c>
      <c r="S141" s="31">
        <v>38139</v>
      </c>
      <c r="T141" s="39">
        <v>22</v>
      </c>
      <c r="U141" s="40">
        <v>0</v>
      </c>
      <c r="V141" s="40">
        <v>3</v>
      </c>
      <c r="W141" s="40"/>
      <c r="X141" s="23"/>
      <c r="Y141" s="23"/>
      <c r="Z141" s="23"/>
      <c r="AA141" s="23"/>
      <c r="AB141" s="23"/>
      <c r="AC141" s="36"/>
      <c r="AD141" s="36"/>
      <c r="AE141" s="23"/>
      <c r="AF141" s="23"/>
      <c r="AG141" s="23"/>
      <c r="AH141" s="23"/>
      <c r="AI141" s="23"/>
      <c r="AJ141" s="36"/>
      <c r="AK141" s="23"/>
    </row>
    <row r="142" spans="1:37" ht="33" hidden="1" x14ac:dyDescent="0.3">
      <c r="B142" s="23" t="s">
        <v>527</v>
      </c>
      <c r="C142" s="34"/>
      <c r="D142" s="23"/>
      <c r="E142" s="23"/>
      <c r="F142" s="23"/>
      <c r="G142" s="35"/>
      <c r="H142" s="36"/>
      <c r="I142" s="36"/>
      <c r="J142" s="35"/>
      <c r="K142" s="35"/>
      <c r="L142" s="24" t="s">
        <v>486</v>
      </c>
      <c r="M142" s="24" t="s">
        <v>542</v>
      </c>
      <c r="N142" s="25"/>
      <c r="O142" s="27" t="s">
        <v>53</v>
      </c>
      <c r="P142" s="23"/>
      <c r="Q142" s="23" t="s">
        <v>534</v>
      </c>
      <c r="R142" s="31">
        <v>36526</v>
      </c>
      <c r="S142" s="31">
        <v>37377</v>
      </c>
      <c r="T142" s="39">
        <v>29</v>
      </c>
      <c r="U142" s="40">
        <v>0</v>
      </c>
      <c r="V142" s="40">
        <v>0</v>
      </c>
      <c r="W142" s="40"/>
      <c r="X142" s="23"/>
      <c r="Y142" s="23"/>
      <c r="Z142" s="23"/>
      <c r="AA142" s="23"/>
      <c r="AB142" s="23"/>
      <c r="AC142" s="36"/>
      <c r="AD142" s="36"/>
      <c r="AE142" s="23"/>
      <c r="AF142" s="23"/>
      <c r="AG142" s="23"/>
      <c r="AH142" s="23"/>
      <c r="AI142" s="23"/>
      <c r="AJ142" s="36"/>
      <c r="AK142" s="23"/>
    </row>
    <row r="143" spans="1:37" ht="33" hidden="1" x14ac:dyDescent="0.3">
      <c r="B143" s="23" t="s">
        <v>527</v>
      </c>
      <c r="C143" s="34"/>
      <c r="D143" s="23"/>
      <c r="E143" s="23"/>
      <c r="F143" s="23"/>
      <c r="G143" s="35"/>
      <c r="H143" s="36"/>
      <c r="I143" s="36"/>
      <c r="J143" s="35"/>
      <c r="K143" s="35"/>
      <c r="L143" s="27" t="s">
        <v>486</v>
      </c>
      <c r="M143" s="27" t="s">
        <v>543</v>
      </c>
      <c r="N143" s="24"/>
      <c r="O143" s="27"/>
      <c r="P143" s="23"/>
      <c r="Q143" s="23" t="s">
        <v>544</v>
      </c>
      <c r="R143" s="31">
        <v>35551</v>
      </c>
      <c r="S143" s="31">
        <v>36495</v>
      </c>
      <c r="T143" s="39">
        <v>32</v>
      </c>
      <c r="U143" s="40">
        <v>8</v>
      </c>
      <c r="V143" s="40">
        <v>0</v>
      </c>
      <c r="W143" s="40"/>
      <c r="X143" s="23"/>
      <c r="Y143" s="23"/>
      <c r="Z143" s="23"/>
      <c r="AA143" s="23"/>
      <c r="AB143" s="23"/>
      <c r="AC143" s="36"/>
      <c r="AD143" s="36"/>
      <c r="AE143" s="23"/>
      <c r="AF143" s="23"/>
      <c r="AG143" s="23"/>
      <c r="AH143" s="23"/>
      <c r="AI143" s="23"/>
      <c r="AJ143" s="36"/>
      <c r="AK143" s="23"/>
    </row>
    <row r="144" spans="1:37" ht="33" hidden="1" x14ac:dyDescent="0.3">
      <c r="B144" s="23" t="s">
        <v>527</v>
      </c>
      <c r="C144" s="34"/>
      <c r="D144" s="23"/>
      <c r="E144" s="23"/>
      <c r="F144" s="23"/>
      <c r="G144" s="35"/>
      <c r="H144" s="36"/>
      <c r="I144" s="36"/>
      <c r="J144" s="35"/>
      <c r="K144" s="35"/>
      <c r="L144" s="27" t="s">
        <v>545</v>
      </c>
      <c r="M144" s="27" t="s">
        <v>546</v>
      </c>
      <c r="N144" s="24"/>
      <c r="O144" s="24"/>
      <c r="P144" s="23"/>
      <c r="Q144" s="23" t="s">
        <v>547</v>
      </c>
      <c r="R144" s="31">
        <v>34820</v>
      </c>
      <c r="S144" s="31">
        <v>35765</v>
      </c>
      <c r="T144" s="39">
        <v>32</v>
      </c>
      <c r="U144" s="40">
        <v>0</v>
      </c>
      <c r="V144" s="40">
        <v>5</v>
      </c>
      <c r="W144" s="40"/>
      <c r="X144" s="23"/>
      <c r="Y144" s="23"/>
      <c r="Z144" s="23"/>
      <c r="AA144" s="23"/>
      <c r="AB144" s="23"/>
      <c r="AC144" s="36"/>
      <c r="AD144" s="36"/>
      <c r="AE144" s="23"/>
      <c r="AF144" s="23"/>
      <c r="AG144" s="23"/>
      <c r="AH144" s="23"/>
      <c r="AI144" s="23"/>
      <c r="AJ144" s="36"/>
      <c r="AK144" s="23"/>
    </row>
    <row r="145" spans="1:37" ht="33" hidden="1" x14ac:dyDescent="0.3">
      <c r="B145" s="23" t="s">
        <v>527</v>
      </c>
      <c r="C145" s="34"/>
      <c r="D145" s="23"/>
      <c r="E145" s="23"/>
      <c r="F145" s="23"/>
      <c r="G145" s="35"/>
      <c r="H145" s="36"/>
      <c r="I145" s="36"/>
      <c r="J145" s="35"/>
      <c r="K145" s="35"/>
      <c r="L145" s="27" t="s">
        <v>486</v>
      </c>
      <c r="M145" s="27" t="s">
        <v>548</v>
      </c>
      <c r="N145" s="24"/>
      <c r="O145" s="24"/>
      <c r="P145" s="23"/>
      <c r="Q145" s="31" t="s">
        <v>549</v>
      </c>
      <c r="R145" s="31">
        <v>33178</v>
      </c>
      <c r="S145" s="31">
        <v>34639</v>
      </c>
      <c r="T145" s="39">
        <v>49</v>
      </c>
      <c r="U145" s="40">
        <v>0</v>
      </c>
      <c r="V145" s="40">
        <v>30</v>
      </c>
      <c r="W145" s="40"/>
      <c r="X145" s="23"/>
      <c r="Y145" s="23"/>
      <c r="Z145" s="23"/>
      <c r="AA145" s="23"/>
      <c r="AB145" s="23"/>
      <c r="AC145" s="36"/>
      <c r="AD145" s="36"/>
      <c r="AE145" s="23"/>
      <c r="AF145" s="23"/>
      <c r="AG145" s="23"/>
      <c r="AH145" s="23"/>
      <c r="AI145" s="23"/>
      <c r="AJ145" s="36"/>
      <c r="AK145" s="23"/>
    </row>
    <row r="146" spans="1:37" ht="33" hidden="1" x14ac:dyDescent="0.3">
      <c r="B146" s="23" t="s">
        <v>527</v>
      </c>
      <c r="C146" s="34"/>
      <c r="D146" s="23"/>
      <c r="E146" s="23"/>
      <c r="F146" s="23"/>
      <c r="G146" s="35"/>
      <c r="H146" s="36"/>
      <c r="I146" s="36"/>
      <c r="J146" s="35"/>
      <c r="K146" s="35"/>
      <c r="L146" s="25" t="s">
        <v>486</v>
      </c>
      <c r="M146" s="24" t="s">
        <v>550</v>
      </c>
      <c r="N146" s="44"/>
      <c r="O146" s="24" t="s">
        <v>521</v>
      </c>
      <c r="P146" s="23" t="s">
        <v>477</v>
      </c>
      <c r="Q146" s="23" t="s">
        <v>551</v>
      </c>
      <c r="R146" s="31">
        <v>31503</v>
      </c>
      <c r="S146" s="31">
        <v>32234</v>
      </c>
      <c r="T146" s="39">
        <v>25</v>
      </c>
      <c r="U146" s="40">
        <v>0</v>
      </c>
      <c r="V146" s="40">
        <v>0</v>
      </c>
      <c r="W146" s="40"/>
      <c r="X146" s="23"/>
      <c r="Y146" s="23"/>
      <c r="Z146" s="23"/>
      <c r="AA146" s="23"/>
      <c r="AB146" s="23"/>
      <c r="AC146" s="36"/>
      <c r="AD146" s="36"/>
      <c r="AE146" s="23"/>
      <c r="AF146" s="23"/>
      <c r="AG146" s="23"/>
      <c r="AH146" s="23"/>
      <c r="AI146" s="23"/>
      <c r="AJ146" s="36"/>
      <c r="AK146" s="23"/>
    </row>
    <row r="147" spans="1:37" hidden="1" x14ac:dyDescent="0.3">
      <c r="B147" s="23" t="s">
        <v>527</v>
      </c>
      <c r="C147" s="34"/>
      <c r="D147" s="23"/>
      <c r="E147" s="23"/>
      <c r="F147" s="23"/>
      <c r="G147" s="35"/>
      <c r="H147" s="36"/>
      <c r="I147" s="36"/>
      <c r="J147" s="35"/>
      <c r="K147" s="35"/>
      <c r="L147" s="24" t="s">
        <v>486</v>
      </c>
      <c r="M147" s="24" t="s">
        <v>552</v>
      </c>
      <c r="N147" s="25"/>
      <c r="O147" s="24"/>
      <c r="P147" s="23" t="s">
        <v>477</v>
      </c>
      <c r="Q147" s="23" t="s">
        <v>553</v>
      </c>
      <c r="R147" s="31">
        <v>30437</v>
      </c>
      <c r="S147" s="31">
        <v>31472</v>
      </c>
      <c r="T147" s="39">
        <v>35</v>
      </c>
      <c r="U147" s="40">
        <v>0</v>
      </c>
      <c r="V147" s="40">
        <v>0</v>
      </c>
      <c r="W147" s="40"/>
      <c r="X147" s="23"/>
      <c r="Y147" s="23"/>
      <c r="Z147" s="23"/>
      <c r="AA147" s="23"/>
      <c r="AB147" s="23"/>
      <c r="AC147" s="36"/>
      <c r="AD147" s="36"/>
      <c r="AE147" s="23"/>
      <c r="AF147" s="23"/>
      <c r="AG147" s="23"/>
      <c r="AH147" s="23"/>
      <c r="AI147" s="23"/>
      <c r="AJ147" s="36"/>
      <c r="AK147" s="23"/>
    </row>
    <row r="148" spans="1:37" hidden="1" x14ac:dyDescent="0.3">
      <c r="B148" s="23"/>
      <c r="C148" s="34"/>
      <c r="D148" s="23"/>
      <c r="E148" s="23"/>
      <c r="F148" s="23"/>
      <c r="G148" s="35"/>
      <c r="H148" s="36"/>
      <c r="I148" s="36"/>
      <c r="J148" s="35"/>
      <c r="K148" s="35"/>
      <c r="L148" s="24"/>
      <c r="M148" s="24"/>
      <c r="N148" s="25"/>
      <c r="O148" s="24"/>
      <c r="P148" s="23"/>
      <c r="Q148" s="23"/>
      <c r="R148" s="31"/>
      <c r="S148" s="31"/>
      <c r="T148" s="39"/>
      <c r="U148" s="40"/>
      <c r="V148" s="40"/>
      <c r="W148" s="40"/>
      <c r="X148" s="23"/>
      <c r="Y148" s="23"/>
      <c r="Z148" s="23"/>
      <c r="AA148" s="23"/>
      <c r="AB148" s="23"/>
      <c r="AC148" s="36"/>
      <c r="AD148" s="36"/>
      <c r="AE148" s="23"/>
      <c r="AF148" s="23"/>
      <c r="AG148" s="23"/>
      <c r="AH148" s="23"/>
      <c r="AI148" s="23"/>
      <c r="AJ148" s="36"/>
      <c r="AK148" s="23"/>
    </row>
    <row r="149" spans="1:37" x14ac:dyDescent="0.3">
      <c r="A149">
        <v>10</v>
      </c>
      <c r="B149" s="23" t="s">
        <v>554</v>
      </c>
      <c r="C149" s="34">
        <v>21716</v>
      </c>
      <c r="D149" s="23" t="s">
        <v>528</v>
      </c>
      <c r="E149" s="23" t="s">
        <v>519</v>
      </c>
      <c r="F149" s="23" t="s">
        <v>474</v>
      </c>
      <c r="G149" s="35">
        <v>42217</v>
      </c>
      <c r="H149" s="43">
        <v>7.416666666666667</v>
      </c>
      <c r="I149" s="36" t="s">
        <v>520</v>
      </c>
      <c r="J149" s="35">
        <v>44893</v>
      </c>
      <c r="K149" s="35" t="s">
        <v>854</v>
      </c>
      <c r="L149" s="23" t="s">
        <v>475</v>
      </c>
      <c r="M149" s="27" t="s">
        <v>476</v>
      </c>
      <c r="N149" s="37"/>
      <c r="O149" s="27" t="s">
        <v>65</v>
      </c>
      <c r="P149" s="37" t="s">
        <v>52</v>
      </c>
      <c r="Q149" s="23" t="s">
        <v>555</v>
      </c>
      <c r="R149" s="41">
        <v>42887</v>
      </c>
      <c r="S149" s="41">
        <v>44866</v>
      </c>
      <c r="T149" s="39">
        <v>66</v>
      </c>
      <c r="U149" s="40">
        <v>0</v>
      </c>
      <c r="V149" s="40">
        <v>0</v>
      </c>
      <c r="W149" s="40"/>
      <c r="X149" s="23"/>
      <c r="Y149" s="23"/>
      <c r="Z149" s="23"/>
      <c r="AA149" s="23" t="s">
        <v>419</v>
      </c>
      <c r="AB149" s="23" t="s">
        <v>417</v>
      </c>
      <c r="AC149" s="36">
        <v>44.67</v>
      </c>
      <c r="AD149" s="36">
        <v>12.42</v>
      </c>
      <c r="AE149" s="23">
        <v>4</v>
      </c>
      <c r="AF149" s="23">
        <v>0</v>
      </c>
      <c r="AG149" s="23">
        <v>15</v>
      </c>
      <c r="AH149" s="23">
        <v>0</v>
      </c>
      <c r="AI149" s="23">
        <v>30.83</v>
      </c>
      <c r="AJ149" s="36">
        <v>30.33</v>
      </c>
      <c r="AK149" s="23">
        <v>11</v>
      </c>
    </row>
    <row r="150" spans="1:37" ht="33" hidden="1" x14ac:dyDescent="0.3">
      <c r="B150" s="23" t="s">
        <v>554</v>
      </c>
      <c r="C150" s="34"/>
      <c r="D150" s="23"/>
      <c r="E150" s="23"/>
      <c r="F150" s="23"/>
      <c r="G150" s="35"/>
      <c r="H150" s="36"/>
      <c r="I150" s="36"/>
      <c r="J150" s="35"/>
      <c r="K150" s="35"/>
      <c r="L150" s="23" t="s">
        <v>556</v>
      </c>
      <c r="M150" s="27" t="s">
        <v>557</v>
      </c>
      <c r="N150" s="37"/>
      <c r="O150" s="27" t="s">
        <v>65</v>
      </c>
      <c r="P150" s="37" t="s">
        <v>477</v>
      </c>
      <c r="Q150" s="23" t="s">
        <v>553</v>
      </c>
      <c r="R150" s="41">
        <v>42095</v>
      </c>
      <c r="S150" s="41">
        <v>42856</v>
      </c>
      <c r="T150" s="39">
        <v>26</v>
      </c>
      <c r="U150" s="40">
        <v>0</v>
      </c>
      <c r="V150" s="40">
        <v>0</v>
      </c>
      <c r="W150" s="40"/>
      <c r="X150" s="23"/>
      <c r="Y150" s="23"/>
      <c r="Z150" s="23"/>
      <c r="AA150" s="23"/>
      <c r="AB150" s="23"/>
      <c r="AC150" s="36"/>
      <c r="AD150" s="36"/>
      <c r="AE150" s="23"/>
      <c r="AF150" s="23"/>
      <c r="AG150" s="23"/>
      <c r="AH150" s="23"/>
      <c r="AI150" s="23"/>
      <c r="AJ150" s="36"/>
      <c r="AK150" s="23"/>
    </row>
    <row r="151" spans="1:37" hidden="1" x14ac:dyDescent="0.3">
      <c r="B151" s="23" t="s">
        <v>554</v>
      </c>
      <c r="C151" s="34"/>
      <c r="D151" s="23"/>
      <c r="E151" s="23"/>
      <c r="F151" s="23"/>
      <c r="G151" s="35"/>
      <c r="H151" s="36"/>
      <c r="I151" s="36"/>
      <c r="J151" s="35"/>
      <c r="K151" s="35"/>
      <c r="L151" s="42" t="s">
        <v>558</v>
      </c>
      <c r="M151" s="23" t="s">
        <v>559</v>
      </c>
      <c r="N151" s="37" t="s">
        <v>560</v>
      </c>
      <c r="O151" s="27" t="s">
        <v>65</v>
      </c>
      <c r="P151" s="37" t="s">
        <v>477</v>
      </c>
      <c r="Q151" s="23" t="s">
        <v>561</v>
      </c>
      <c r="R151" s="41">
        <v>40544</v>
      </c>
      <c r="S151" s="41">
        <v>42064</v>
      </c>
      <c r="T151" s="39">
        <v>51</v>
      </c>
      <c r="U151" s="40">
        <v>0</v>
      </c>
      <c r="V151" s="40">
        <v>0</v>
      </c>
      <c r="W151" s="40"/>
      <c r="X151" s="23"/>
      <c r="Y151" s="23"/>
      <c r="Z151" s="23"/>
      <c r="AA151" s="23"/>
      <c r="AB151" s="23"/>
      <c r="AC151" s="36"/>
      <c r="AD151" s="36"/>
      <c r="AE151" s="23"/>
      <c r="AF151" s="23"/>
      <c r="AG151" s="23"/>
      <c r="AH151" s="23"/>
      <c r="AI151" s="23"/>
      <c r="AJ151" s="36"/>
      <c r="AK151" s="23"/>
    </row>
    <row r="152" spans="1:37" hidden="1" x14ac:dyDescent="0.3">
      <c r="B152" s="23" t="s">
        <v>554</v>
      </c>
      <c r="C152" s="34"/>
      <c r="D152" s="23"/>
      <c r="E152" s="23"/>
      <c r="F152" s="23"/>
      <c r="G152" s="35"/>
      <c r="H152" s="36"/>
      <c r="I152" s="36"/>
      <c r="J152" s="35"/>
      <c r="K152" s="35"/>
      <c r="L152" s="23" t="s">
        <v>481</v>
      </c>
      <c r="M152" s="23" t="s">
        <v>562</v>
      </c>
      <c r="N152" s="37"/>
      <c r="O152" s="27" t="s">
        <v>65</v>
      </c>
      <c r="P152" s="37" t="s">
        <v>563</v>
      </c>
      <c r="Q152" s="23" t="s">
        <v>561</v>
      </c>
      <c r="R152" s="41">
        <v>40330</v>
      </c>
      <c r="S152" s="41">
        <v>40513</v>
      </c>
      <c r="T152" s="39">
        <v>7</v>
      </c>
      <c r="U152" s="40">
        <v>0</v>
      </c>
      <c r="V152" s="40">
        <v>0</v>
      </c>
      <c r="W152" s="40"/>
      <c r="X152" s="23"/>
      <c r="Y152" s="23"/>
      <c r="Z152" s="23"/>
      <c r="AA152" s="23"/>
      <c r="AB152" s="23"/>
      <c r="AC152" s="36"/>
      <c r="AD152" s="36"/>
      <c r="AE152" s="23"/>
      <c r="AF152" s="23"/>
      <c r="AG152" s="23"/>
      <c r="AH152" s="23"/>
      <c r="AI152" s="23"/>
      <c r="AJ152" s="36"/>
      <c r="AK152" s="23"/>
    </row>
    <row r="153" spans="1:37" hidden="1" x14ac:dyDescent="0.3">
      <c r="B153" s="23" t="s">
        <v>554</v>
      </c>
      <c r="C153" s="34"/>
      <c r="D153" s="23"/>
      <c r="E153" s="23"/>
      <c r="F153" s="23"/>
      <c r="G153" s="35"/>
      <c r="H153" s="36"/>
      <c r="I153" s="36"/>
      <c r="J153" s="35"/>
      <c r="K153" s="35"/>
      <c r="L153" s="23" t="s">
        <v>481</v>
      </c>
      <c r="M153" s="23" t="s">
        <v>564</v>
      </c>
      <c r="N153" s="37"/>
      <c r="O153" s="27" t="s">
        <v>65</v>
      </c>
      <c r="P153" s="37" t="s">
        <v>477</v>
      </c>
      <c r="Q153" s="23" t="s">
        <v>553</v>
      </c>
      <c r="R153" s="41">
        <v>40179</v>
      </c>
      <c r="S153" s="41">
        <v>40299</v>
      </c>
      <c r="T153" s="39">
        <v>5</v>
      </c>
      <c r="U153" s="40">
        <v>0</v>
      </c>
      <c r="V153" s="40">
        <v>0</v>
      </c>
      <c r="W153" s="40"/>
      <c r="X153" s="23"/>
      <c r="Y153" s="23"/>
      <c r="Z153" s="23"/>
      <c r="AA153" s="23"/>
      <c r="AB153" s="23"/>
      <c r="AC153" s="36"/>
      <c r="AD153" s="36"/>
      <c r="AE153" s="23"/>
      <c r="AF153" s="23"/>
      <c r="AG153" s="23"/>
      <c r="AH153" s="23"/>
      <c r="AI153" s="23"/>
      <c r="AJ153" s="36"/>
      <c r="AK153" s="23"/>
    </row>
    <row r="154" spans="1:37" hidden="1" x14ac:dyDescent="0.3">
      <c r="B154" s="23" t="s">
        <v>554</v>
      </c>
      <c r="C154" s="34"/>
      <c r="D154" s="23"/>
      <c r="E154" s="23"/>
      <c r="F154" s="23"/>
      <c r="G154" s="35"/>
      <c r="H154" s="36"/>
      <c r="I154" s="36"/>
      <c r="J154" s="35"/>
      <c r="K154" s="35"/>
      <c r="L154" s="23" t="s">
        <v>565</v>
      </c>
      <c r="M154" s="23" t="s">
        <v>566</v>
      </c>
      <c r="N154" s="37"/>
      <c r="O154" s="27" t="s">
        <v>65</v>
      </c>
      <c r="P154" s="37" t="s">
        <v>477</v>
      </c>
      <c r="Q154" s="23" t="s">
        <v>553</v>
      </c>
      <c r="R154" s="41">
        <v>39692</v>
      </c>
      <c r="S154" s="41">
        <v>40148</v>
      </c>
      <c r="T154" s="39">
        <v>16</v>
      </c>
      <c r="U154" s="40">
        <v>0</v>
      </c>
      <c r="V154" s="40">
        <v>0</v>
      </c>
      <c r="W154" s="40"/>
      <c r="X154" s="23"/>
      <c r="Y154" s="23"/>
      <c r="Z154" s="23"/>
      <c r="AA154" s="23"/>
      <c r="AB154" s="23"/>
      <c r="AC154" s="36"/>
      <c r="AD154" s="36"/>
      <c r="AE154" s="23"/>
      <c r="AF154" s="23"/>
      <c r="AG154" s="23"/>
      <c r="AH154" s="23"/>
      <c r="AI154" s="23"/>
      <c r="AJ154" s="36"/>
      <c r="AK154" s="23"/>
    </row>
    <row r="155" spans="1:37" hidden="1" x14ac:dyDescent="0.3">
      <c r="B155" s="23" t="s">
        <v>554</v>
      </c>
      <c r="C155" s="34"/>
      <c r="D155" s="23"/>
      <c r="E155" s="23"/>
      <c r="F155" s="23"/>
      <c r="G155" s="35"/>
      <c r="H155" s="36"/>
      <c r="I155" s="36"/>
      <c r="J155" s="35"/>
      <c r="K155" s="35"/>
      <c r="L155" s="23" t="s">
        <v>486</v>
      </c>
      <c r="M155" s="30" t="s">
        <v>567</v>
      </c>
      <c r="N155" s="37"/>
      <c r="O155" s="27" t="s">
        <v>65</v>
      </c>
      <c r="P155" s="37" t="s">
        <v>477</v>
      </c>
      <c r="Q155" s="23" t="s">
        <v>561</v>
      </c>
      <c r="R155" s="41">
        <v>38930</v>
      </c>
      <c r="S155" s="41">
        <v>39661</v>
      </c>
      <c r="T155" s="39">
        <v>25</v>
      </c>
      <c r="U155" s="40">
        <v>0</v>
      </c>
      <c r="V155" s="40">
        <v>0</v>
      </c>
      <c r="W155" s="40"/>
      <c r="X155" s="23"/>
      <c r="Y155" s="23"/>
      <c r="Z155" s="23"/>
      <c r="AA155" s="23"/>
      <c r="AB155" s="23"/>
      <c r="AC155" s="36"/>
      <c r="AD155" s="36"/>
      <c r="AE155" s="23"/>
      <c r="AF155" s="23"/>
      <c r="AG155" s="23"/>
      <c r="AH155" s="23"/>
      <c r="AI155" s="23"/>
      <c r="AJ155" s="36"/>
      <c r="AK155" s="23"/>
    </row>
    <row r="156" spans="1:37" hidden="1" x14ac:dyDescent="0.3">
      <c r="B156" s="23" t="s">
        <v>554</v>
      </c>
      <c r="C156" s="34"/>
      <c r="D156" s="23"/>
      <c r="E156" s="23"/>
      <c r="F156" s="23"/>
      <c r="G156" s="35"/>
      <c r="H156" s="36"/>
      <c r="I156" s="36"/>
      <c r="J156" s="35"/>
      <c r="K156" s="35"/>
      <c r="L156" s="42" t="s">
        <v>558</v>
      </c>
      <c r="M156" s="23" t="s">
        <v>568</v>
      </c>
      <c r="N156" s="37"/>
      <c r="O156" s="27" t="s">
        <v>65</v>
      </c>
      <c r="P156" s="37" t="s">
        <v>494</v>
      </c>
      <c r="Q156" s="23" t="s">
        <v>569</v>
      </c>
      <c r="R156" s="41">
        <v>38626</v>
      </c>
      <c r="S156" s="41">
        <v>38899</v>
      </c>
      <c r="T156" s="39">
        <v>10</v>
      </c>
      <c r="U156" s="40">
        <v>0</v>
      </c>
      <c r="V156" s="40">
        <v>0</v>
      </c>
      <c r="W156" s="40"/>
      <c r="X156" s="23"/>
      <c r="Y156" s="23"/>
      <c r="Z156" s="23"/>
      <c r="AA156" s="23"/>
      <c r="AB156" s="23"/>
      <c r="AC156" s="36"/>
      <c r="AD156" s="36"/>
      <c r="AE156" s="23"/>
      <c r="AF156" s="23"/>
      <c r="AG156" s="23"/>
      <c r="AH156" s="23"/>
      <c r="AI156" s="23"/>
      <c r="AJ156" s="36"/>
      <c r="AK156" s="23"/>
    </row>
    <row r="157" spans="1:37" ht="33" hidden="1" x14ac:dyDescent="0.3">
      <c r="B157" s="23" t="s">
        <v>554</v>
      </c>
      <c r="C157" s="34"/>
      <c r="D157" s="23"/>
      <c r="E157" s="23"/>
      <c r="F157" s="23"/>
      <c r="G157" s="35"/>
      <c r="H157" s="36"/>
      <c r="I157" s="36"/>
      <c r="J157" s="35"/>
      <c r="K157" s="35"/>
      <c r="L157" s="42" t="s">
        <v>570</v>
      </c>
      <c r="M157" s="23" t="s">
        <v>571</v>
      </c>
      <c r="N157" s="37" t="s">
        <v>572</v>
      </c>
      <c r="O157" s="27" t="s">
        <v>65</v>
      </c>
      <c r="P157" s="37" t="s">
        <v>573</v>
      </c>
      <c r="Q157" s="23" t="s">
        <v>574</v>
      </c>
      <c r="R157" s="41">
        <v>38108</v>
      </c>
      <c r="S157" s="41">
        <v>38596</v>
      </c>
      <c r="T157" s="39">
        <v>17</v>
      </c>
      <c r="U157" s="40">
        <v>0</v>
      </c>
      <c r="V157" s="40">
        <v>1</v>
      </c>
      <c r="W157" s="40"/>
      <c r="X157" s="23"/>
      <c r="Y157" s="23"/>
      <c r="Z157" s="23"/>
      <c r="AA157" s="23"/>
      <c r="AB157" s="23"/>
      <c r="AC157" s="36"/>
      <c r="AD157" s="36"/>
      <c r="AE157" s="23"/>
      <c r="AF157" s="23"/>
      <c r="AG157" s="23"/>
      <c r="AH157" s="23"/>
      <c r="AI157" s="23"/>
      <c r="AJ157" s="36"/>
      <c r="AK157" s="23"/>
    </row>
    <row r="158" spans="1:37" hidden="1" x14ac:dyDescent="0.3">
      <c r="B158" s="23" t="s">
        <v>554</v>
      </c>
      <c r="C158" s="34"/>
      <c r="D158" s="23"/>
      <c r="E158" s="23"/>
      <c r="F158" s="23"/>
      <c r="G158" s="35"/>
      <c r="H158" s="36"/>
      <c r="I158" s="36"/>
      <c r="J158" s="35"/>
      <c r="K158" s="35"/>
      <c r="L158" s="23" t="s">
        <v>486</v>
      </c>
      <c r="M158" s="23" t="s">
        <v>575</v>
      </c>
      <c r="N158" s="37"/>
      <c r="O158" s="27" t="s">
        <v>65</v>
      </c>
      <c r="P158" s="37" t="s">
        <v>477</v>
      </c>
      <c r="Q158" s="23" t="s">
        <v>569</v>
      </c>
      <c r="R158" s="41">
        <v>37469</v>
      </c>
      <c r="S158" s="41">
        <v>38047</v>
      </c>
      <c r="T158" s="39">
        <v>20</v>
      </c>
      <c r="U158" s="40">
        <v>0</v>
      </c>
      <c r="V158" s="40">
        <v>0</v>
      </c>
      <c r="W158" s="40"/>
      <c r="X158" s="23"/>
      <c r="Y158" s="23"/>
      <c r="Z158" s="23"/>
      <c r="AA158" s="23"/>
      <c r="AB158" s="23"/>
      <c r="AC158" s="36"/>
      <c r="AD158" s="36"/>
      <c r="AE158" s="23"/>
      <c r="AF158" s="23"/>
      <c r="AG158" s="23"/>
      <c r="AH158" s="23"/>
      <c r="AI158" s="23"/>
      <c r="AJ158" s="36"/>
      <c r="AK158" s="23"/>
    </row>
    <row r="159" spans="1:37" hidden="1" x14ac:dyDescent="0.3">
      <c r="B159" s="23" t="s">
        <v>576</v>
      </c>
      <c r="C159" s="34"/>
      <c r="D159" s="23"/>
      <c r="E159" s="23"/>
      <c r="F159" s="23"/>
      <c r="G159" s="35"/>
      <c r="H159" s="36"/>
      <c r="I159" s="36"/>
      <c r="J159" s="35"/>
      <c r="K159" s="35"/>
      <c r="L159" s="23" t="s">
        <v>486</v>
      </c>
      <c r="M159" s="23" t="s">
        <v>577</v>
      </c>
      <c r="N159" s="37"/>
      <c r="O159" s="27" t="s">
        <v>65</v>
      </c>
      <c r="P159" s="37" t="s">
        <v>477</v>
      </c>
      <c r="Q159" s="23" t="s">
        <v>574</v>
      </c>
      <c r="R159" s="41">
        <v>37104</v>
      </c>
      <c r="S159" s="41">
        <v>37438</v>
      </c>
      <c r="T159" s="39">
        <v>12</v>
      </c>
      <c r="U159" s="40">
        <v>0</v>
      </c>
      <c r="V159" s="40">
        <v>0</v>
      </c>
      <c r="W159" s="40"/>
      <c r="X159" s="23"/>
      <c r="Y159" s="23"/>
      <c r="Z159" s="23"/>
      <c r="AA159" s="23"/>
      <c r="AB159" s="23"/>
      <c r="AC159" s="36"/>
      <c r="AD159" s="36"/>
      <c r="AE159" s="23"/>
      <c r="AF159" s="23"/>
      <c r="AG159" s="23"/>
      <c r="AH159" s="23"/>
      <c r="AI159" s="23"/>
      <c r="AJ159" s="36"/>
      <c r="AK159" s="23"/>
    </row>
    <row r="160" spans="1:37" hidden="1" x14ac:dyDescent="0.3">
      <c r="B160" s="23" t="s">
        <v>554</v>
      </c>
      <c r="C160" s="34"/>
      <c r="D160" s="23"/>
      <c r="E160" s="23"/>
      <c r="F160" s="23"/>
      <c r="G160" s="35"/>
      <c r="H160" s="36"/>
      <c r="I160" s="36"/>
      <c r="J160" s="35"/>
      <c r="K160" s="35"/>
      <c r="L160" s="23" t="s">
        <v>486</v>
      </c>
      <c r="M160" s="23" t="s">
        <v>578</v>
      </c>
      <c r="N160" s="37"/>
      <c r="O160" s="27" t="s">
        <v>65</v>
      </c>
      <c r="P160" s="37" t="s">
        <v>477</v>
      </c>
      <c r="Q160" s="23" t="s">
        <v>569</v>
      </c>
      <c r="R160" s="41">
        <v>36161</v>
      </c>
      <c r="S160" s="41">
        <v>37073</v>
      </c>
      <c r="T160" s="39">
        <v>31</v>
      </c>
      <c r="U160" s="40">
        <v>0</v>
      </c>
      <c r="V160" s="40">
        <v>0</v>
      </c>
      <c r="W160" s="40"/>
      <c r="X160" s="23"/>
      <c r="Y160" s="23"/>
      <c r="Z160" s="23"/>
      <c r="AA160" s="23"/>
      <c r="AB160" s="23"/>
      <c r="AC160" s="36"/>
      <c r="AD160" s="36"/>
      <c r="AE160" s="23"/>
      <c r="AF160" s="23"/>
      <c r="AG160" s="23"/>
      <c r="AH160" s="23"/>
      <c r="AI160" s="23"/>
      <c r="AJ160" s="36"/>
      <c r="AK160" s="23"/>
    </row>
    <row r="161" spans="1:37" ht="33" hidden="1" x14ac:dyDescent="0.3">
      <c r="B161" s="23" t="s">
        <v>554</v>
      </c>
      <c r="C161" s="34"/>
      <c r="D161" s="23"/>
      <c r="E161" s="23"/>
      <c r="F161" s="23"/>
      <c r="G161" s="35"/>
      <c r="H161" s="36"/>
      <c r="I161" s="36"/>
      <c r="J161" s="35"/>
      <c r="K161" s="35"/>
      <c r="L161" s="23" t="s">
        <v>486</v>
      </c>
      <c r="M161" s="23" t="s">
        <v>579</v>
      </c>
      <c r="N161" s="37"/>
      <c r="O161" s="27" t="s">
        <v>65</v>
      </c>
      <c r="P161" s="37" t="s">
        <v>52</v>
      </c>
      <c r="Q161" s="23" t="s">
        <v>569</v>
      </c>
      <c r="R161" s="41">
        <v>35278</v>
      </c>
      <c r="S161" s="41">
        <v>36130</v>
      </c>
      <c r="T161" s="39">
        <v>29</v>
      </c>
      <c r="U161" s="40">
        <v>0</v>
      </c>
      <c r="V161" s="40">
        <v>0</v>
      </c>
      <c r="W161" s="40"/>
      <c r="X161" s="23"/>
      <c r="Y161" s="23"/>
      <c r="Z161" s="23"/>
      <c r="AA161" s="23"/>
      <c r="AB161" s="23"/>
      <c r="AC161" s="36"/>
      <c r="AD161" s="36"/>
      <c r="AE161" s="23"/>
      <c r="AF161" s="23"/>
      <c r="AG161" s="23"/>
      <c r="AH161" s="23"/>
      <c r="AI161" s="23"/>
      <c r="AJ161" s="36"/>
      <c r="AK161" s="23"/>
    </row>
    <row r="162" spans="1:37" hidden="1" x14ac:dyDescent="0.3">
      <c r="B162" s="23" t="s">
        <v>554</v>
      </c>
      <c r="C162" s="34"/>
      <c r="D162" s="23"/>
      <c r="E162" s="23"/>
      <c r="F162" s="23"/>
      <c r="G162" s="35"/>
      <c r="H162" s="36"/>
      <c r="I162" s="36"/>
      <c r="J162" s="35"/>
      <c r="K162" s="35"/>
      <c r="L162" s="23" t="s">
        <v>188</v>
      </c>
      <c r="M162" s="23" t="s">
        <v>580</v>
      </c>
      <c r="N162" s="37"/>
      <c r="O162" s="27" t="s">
        <v>65</v>
      </c>
      <c r="P162" s="37" t="s">
        <v>477</v>
      </c>
      <c r="Q162" s="23" t="s">
        <v>569</v>
      </c>
      <c r="R162" s="41">
        <v>34700</v>
      </c>
      <c r="S162" s="41">
        <v>35247</v>
      </c>
      <c r="T162" s="39">
        <v>19</v>
      </c>
      <c r="U162" s="40">
        <v>0</v>
      </c>
      <c r="V162" s="40">
        <v>0</v>
      </c>
      <c r="W162" s="40"/>
      <c r="X162" s="23"/>
      <c r="Y162" s="23"/>
      <c r="Z162" s="23"/>
      <c r="AA162" s="23"/>
      <c r="AB162" s="23"/>
      <c r="AC162" s="36"/>
      <c r="AD162" s="36"/>
      <c r="AE162" s="23"/>
      <c r="AF162" s="23"/>
      <c r="AG162" s="23"/>
      <c r="AH162" s="23"/>
      <c r="AI162" s="23"/>
      <c r="AJ162" s="36"/>
      <c r="AK162" s="23"/>
    </row>
    <row r="163" spans="1:37" hidden="1" x14ac:dyDescent="0.3">
      <c r="B163" s="23" t="s">
        <v>554</v>
      </c>
      <c r="C163" s="34"/>
      <c r="D163" s="23"/>
      <c r="E163" s="23"/>
      <c r="F163" s="23"/>
      <c r="G163" s="35"/>
      <c r="H163" s="36"/>
      <c r="I163" s="36"/>
      <c r="J163" s="35"/>
      <c r="K163" s="35"/>
      <c r="L163" s="23" t="s">
        <v>486</v>
      </c>
      <c r="M163" s="23" t="s">
        <v>581</v>
      </c>
      <c r="N163" s="37"/>
      <c r="O163" s="27" t="s">
        <v>65</v>
      </c>
      <c r="P163" s="37" t="s">
        <v>477</v>
      </c>
      <c r="Q163" s="23" t="s">
        <v>569</v>
      </c>
      <c r="R163" s="41">
        <v>33604</v>
      </c>
      <c r="S163" s="41">
        <v>34669</v>
      </c>
      <c r="T163" s="39">
        <v>36</v>
      </c>
      <c r="U163" s="40">
        <v>0</v>
      </c>
      <c r="V163" s="40">
        <v>0</v>
      </c>
      <c r="W163" s="40"/>
      <c r="X163" s="23"/>
      <c r="Y163" s="23"/>
      <c r="Z163" s="23"/>
      <c r="AA163" s="23"/>
      <c r="AB163" s="23"/>
      <c r="AC163" s="36"/>
      <c r="AD163" s="36"/>
      <c r="AE163" s="23"/>
      <c r="AF163" s="23"/>
      <c r="AG163" s="23"/>
      <c r="AH163" s="23"/>
      <c r="AI163" s="23"/>
      <c r="AJ163" s="36"/>
      <c r="AK163" s="23"/>
    </row>
    <row r="164" spans="1:37" hidden="1" x14ac:dyDescent="0.3">
      <c r="B164" s="23" t="s">
        <v>554</v>
      </c>
      <c r="C164" s="34"/>
      <c r="D164" s="23"/>
      <c r="E164" s="23"/>
      <c r="F164" s="23"/>
      <c r="G164" s="35"/>
      <c r="H164" s="36"/>
      <c r="I164" s="36"/>
      <c r="J164" s="35"/>
      <c r="K164" s="35"/>
      <c r="L164" s="23" t="s">
        <v>565</v>
      </c>
      <c r="M164" s="23" t="s">
        <v>582</v>
      </c>
      <c r="N164" s="37"/>
      <c r="O164" s="27" t="s">
        <v>493</v>
      </c>
      <c r="P164" s="37" t="s">
        <v>477</v>
      </c>
      <c r="Q164" s="23" t="s">
        <v>583</v>
      </c>
      <c r="R164" s="41">
        <v>31717</v>
      </c>
      <c r="S164" s="41">
        <v>33573</v>
      </c>
      <c r="T164" s="39">
        <v>62</v>
      </c>
      <c r="U164" s="40">
        <v>0</v>
      </c>
      <c r="V164" s="40">
        <v>0</v>
      </c>
      <c r="W164" s="40"/>
      <c r="X164" s="23"/>
      <c r="Y164" s="23"/>
      <c r="Z164" s="23"/>
      <c r="AA164" s="23"/>
      <c r="AB164" s="23"/>
      <c r="AC164" s="36"/>
      <c r="AD164" s="36"/>
      <c r="AE164" s="23"/>
      <c r="AF164" s="23"/>
      <c r="AG164" s="23"/>
      <c r="AH164" s="23"/>
      <c r="AI164" s="23"/>
      <c r="AJ164" s="36"/>
      <c r="AK164" s="23"/>
    </row>
    <row r="165" spans="1:37" ht="33" hidden="1" x14ac:dyDescent="0.3">
      <c r="B165" s="23" t="s">
        <v>554</v>
      </c>
      <c r="C165" s="34"/>
      <c r="D165" s="23"/>
      <c r="E165" s="23"/>
      <c r="F165" s="23"/>
      <c r="G165" s="35"/>
      <c r="H165" s="36"/>
      <c r="I165" s="36"/>
      <c r="J165" s="35"/>
      <c r="K165" s="35"/>
      <c r="L165" s="23" t="s">
        <v>584</v>
      </c>
      <c r="M165" s="23" t="s">
        <v>585</v>
      </c>
      <c r="N165" s="37"/>
      <c r="O165" s="27" t="s">
        <v>489</v>
      </c>
      <c r="P165" s="37" t="s">
        <v>477</v>
      </c>
      <c r="Q165" s="23" t="s">
        <v>586</v>
      </c>
      <c r="R165" s="41">
        <v>31017</v>
      </c>
      <c r="S165" s="41">
        <v>31686</v>
      </c>
      <c r="T165" s="39">
        <v>23</v>
      </c>
      <c r="U165" s="40">
        <v>0</v>
      </c>
      <c r="V165" s="40">
        <v>0</v>
      </c>
      <c r="W165" s="40"/>
      <c r="X165" s="23"/>
      <c r="Y165" s="23"/>
      <c r="Z165" s="23"/>
      <c r="AA165" s="23"/>
      <c r="AB165" s="23"/>
      <c r="AC165" s="36"/>
      <c r="AD165" s="36"/>
      <c r="AE165" s="23"/>
      <c r="AF165" s="23"/>
      <c r="AG165" s="23"/>
      <c r="AH165" s="23"/>
      <c r="AI165" s="23"/>
      <c r="AJ165" s="36"/>
      <c r="AK165" s="23"/>
    </row>
    <row r="166" spans="1:37" ht="33" hidden="1" x14ac:dyDescent="0.3">
      <c r="B166" s="23" t="s">
        <v>554</v>
      </c>
      <c r="C166" s="34"/>
      <c r="D166" s="23"/>
      <c r="E166" s="23"/>
      <c r="F166" s="23"/>
      <c r="G166" s="35"/>
      <c r="H166" s="36"/>
      <c r="I166" s="36"/>
      <c r="J166" s="35"/>
      <c r="K166" s="35"/>
      <c r="L166" s="23" t="s">
        <v>587</v>
      </c>
      <c r="M166" s="23" t="s">
        <v>588</v>
      </c>
      <c r="N166" s="37"/>
      <c r="O166" s="27" t="s">
        <v>589</v>
      </c>
      <c r="P166" s="37" t="s">
        <v>477</v>
      </c>
      <c r="Q166" s="23" t="s">
        <v>590</v>
      </c>
      <c r="R166" s="41">
        <v>28550</v>
      </c>
      <c r="S166" s="41">
        <v>30987</v>
      </c>
      <c r="T166" s="39">
        <v>81</v>
      </c>
      <c r="U166" s="40">
        <v>0</v>
      </c>
      <c r="V166" s="40">
        <v>0</v>
      </c>
      <c r="W166" s="40"/>
      <c r="X166" s="23"/>
      <c r="Y166" s="23"/>
      <c r="Z166" s="23"/>
      <c r="AA166" s="23"/>
      <c r="AB166" s="23"/>
      <c r="AC166" s="36"/>
      <c r="AD166" s="36"/>
      <c r="AE166" s="23"/>
      <c r="AF166" s="23"/>
      <c r="AG166" s="23"/>
      <c r="AH166" s="23"/>
      <c r="AI166" s="23"/>
      <c r="AJ166" s="36"/>
      <c r="AK166" s="23"/>
    </row>
    <row r="167" spans="1:37" hidden="1" x14ac:dyDescent="0.3">
      <c r="B167" s="23"/>
      <c r="C167" s="34"/>
      <c r="D167" s="23"/>
      <c r="E167" s="23"/>
      <c r="F167" s="23"/>
      <c r="G167" s="35"/>
      <c r="H167" s="36"/>
      <c r="I167" s="36"/>
      <c r="J167" s="35"/>
      <c r="K167" s="35"/>
      <c r="L167" s="23"/>
      <c r="M167" s="23"/>
      <c r="N167" s="37"/>
      <c r="O167" s="27"/>
      <c r="P167" s="37"/>
      <c r="Q167" s="23"/>
      <c r="R167" s="41"/>
      <c r="S167" s="41"/>
      <c r="T167" s="39"/>
      <c r="U167" s="40"/>
      <c r="V167" s="40"/>
      <c r="W167" s="40"/>
      <c r="X167" s="23"/>
      <c r="Y167" s="23"/>
      <c r="Z167" s="23"/>
      <c r="AA167" s="23"/>
      <c r="AB167" s="23"/>
      <c r="AC167" s="36"/>
      <c r="AD167" s="36"/>
      <c r="AE167" s="23"/>
      <c r="AF167" s="23"/>
      <c r="AG167" s="23"/>
      <c r="AH167" s="23"/>
      <c r="AI167" s="23"/>
      <c r="AJ167" s="36"/>
      <c r="AK167" s="23"/>
    </row>
    <row r="168" spans="1:37" ht="33" x14ac:dyDescent="0.3">
      <c r="A168">
        <v>11</v>
      </c>
      <c r="B168" s="23" t="s">
        <v>591</v>
      </c>
      <c r="C168" s="34">
        <v>17319</v>
      </c>
      <c r="D168" s="23" t="s">
        <v>592</v>
      </c>
      <c r="E168" s="23" t="s">
        <v>593</v>
      </c>
      <c r="F168" s="23" t="s">
        <v>474</v>
      </c>
      <c r="G168" s="35">
        <v>41289</v>
      </c>
      <c r="H168" s="43">
        <v>10</v>
      </c>
      <c r="I168" s="36" t="s">
        <v>520</v>
      </c>
      <c r="J168" s="35">
        <v>44893</v>
      </c>
      <c r="K168" s="35"/>
      <c r="L168" s="24" t="s">
        <v>594</v>
      </c>
      <c r="M168" s="24" t="s">
        <v>595</v>
      </c>
      <c r="N168" s="25" t="s">
        <v>572</v>
      </c>
      <c r="O168" s="24" t="s">
        <v>521</v>
      </c>
      <c r="P168" s="23" t="s">
        <v>67</v>
      </c>
      <c r="Q168" s="23" t="s">
        <v>596</v>
      </c>
      <c r="R168" s="31">
        <v>43739</v>
      </c>
      <c r="S168" s="31">
        <v>43770</v>
      </c>
      <c r="T168" s="39">
        <v>2</v>
      </c>
      <c r="U168" s="40">
        <v>0</v>
      </c>
      <c r="V168" s="40">
        <v>14</v>
      </c>
      <c r="W168" s="40"/>
      <c r="X168" s="23"/>
      <c r="Y168" s="23"/>
      <c r="Z168" s="23"/>
      <c r="AA168" s="23" t="s">
        <v>419</v>
      </c>
      <c r="AB168" s="23" t="s">
        <v>417</v>
      </c>
      <c r="AC168" s="36">
        <v>24.25</v>
      </c>
      <c r="AD168" s="36">
        <v>0</v>
      </c>
      <c r="AE168" s="23">
        <v>0</v>
      </c>
      <c r="AF168" s="23">
        <v>0</v>
      </c>
      <c r="AG168" s="23">
        <v>16</v>
      </c>
      <c r="AH168" s="23">
        <v>0</v>
      </c>
      <c r="AI168" s="23">
        <v>20.25</v>
      </c>
      <c r="AJ168" s="36">
        <v>6.75</v>
      </c>
      <c r="AK168" s="23">
        <v>7</v>
      </c>
    </row>
    <row r="169" spans="1:37" ht="33" hidden="1" x14ac:dyDescent="0.3">
      <c r="B169" s="23" t="s">
        <v>597</v>
      </c>
      <c r="C169" s="34"/>
      <c r="D169" s="23"/>
      <c r="E169" s="23"/>
      <c r="F169" s="23"/>
      <c r="G169" s="35"/>
      <c r="H169" s="36"/>
      <c r="I169" s="36"/>
      <c r="J169" s="35"/>
      <c r="K169" s="35"/>
      <c r="L169" s="27" t="s">
        <v>598</v>
      </c>
      <c r="M169" s="27" t="s">
        <v>599</v>
      </c>
      <c r="N169" s="24" t="s">
        <v>572</v>
      </c>
      <c r="O169" s="24"/>
      <c r="P169" s="23" t="s">
        <v>66</v>
      </c>
      <c r="Q169" s="23" t="s">
        <v>600</v>
      </c>
      <c r="R169" s="31">
        <v>43191</v>
      </c>
      <c r="S169" s="31">
        <v>43282</v>
      </c>
      <c r="T169" s="39">
        <v>4</v>
      </c>
      <c r="U169" s="40">
        <v>0</v>
      </c>
      <c r="V169" s="40">
        <v>8</v>
      </c>
      <c r="W169" s="40"/>
      <c r="X169" s="23"/>
      <c r="Y169" s="23"/>
      <c r="Z169" s="23"/>
      <c r="AA169" s="23"/>
      <c r="AB169" s="23"/>
      <c r="AC169" s="36"/>
      <c r="AD169" s="36"/>
      <c r="AE169" s="23"/>
      <c r="AF169" s="23"/>
      <c r="AG169" s="23"/>
      <c r="AH169" s="23"/>
      <c r="AI169" s="23"/>
      <c r="AJ169" s="36"/>
      <c r="AK169" s="23"/>
    </row>
    <row r="170" spans="1:37" ht="49.5" hidden="1" x14ac:dyDescent="0.3">
      <c r="B170" s="23" t="s">
        <v>591</v>
      </c>
      <c r="C170" s="34"/>
      <c r="D170" s="23"/>
      <c r="E170" s="23"/>
      <c r="F170" s="23"/>
      <c r="G170" s="35"/>
      <c r="H170" s="36"/>
      <c r="I170" s="36"/>
      <c r="J170" s="35"/>
      <c r="K170" s="35"/>
      <c r="L170" s="27" t="s">
        <v>556</v>
      </c>
      <c r="M170" s="27" t="s">
        <v>601</v>
      </c>
      <c r="N170" s="24"/>
      <c r="O170" s="24" t="s">
        <v>521</v>
      </c>
      <c r="P170" s="23" t="s">
        <v>66</v>
      </c>
      <c r="Q170" s="23" t="s">
        <v>600</v>
      </c>
      <c r="R170" s="31">
        <v>42309</v>
      </c>
      <c r="S170" s="31">
        <v>42917</v>
      </c>
      <c r="T170" s="39">
        <v>21</v>
      </c>
      <c r="U170" s="40">
        <v>0</v>
      </c>
      <c r="V170" s="40">
        <v>127</v>
      </c>
      <c r="W170" s="40"/>
      <c r="X170" s="23"/>
      <c r="Y170" s="23"/>
      <c r="Z170" s="23"/>
      <c r="AA170" s="23"/>
      <c r="AB170" s="23"/>
      <c r="AC170" s="36"/>
      <c r="AD170" s="36"/>
      <c r="AE170" s="23"/>
      <c r="AF170" s="23"/>
      <c r="AG170" s="23"/>
      <c r="AH170" s="23"/>
      <c r="AI170" s="23"/>
      <c r="AJ170" s="36"/>
      <c r="AK170" s="23"/>
    </row>
    <row r="171" spans="1:37" ht="33" hidden="1" x14ac:dyDescent="0.3">
      <c r="B171" s="23" t="s">
        <v>591</v>
      </c>
      <c r="C171" s="34"/>
      <c r="D171" s="23"/>
      <c r="E171" s="23"/>
      <c r="F171" s="23"/>
      <c r="G171" s="35"/>
      <c r="H171" s="36"/>
      <c r="I171" s="36"/>
      <c r="J171" s="35"/>
      <c r="K171" s="35"/>
      <c r="L171" s="27" t="s">
        <v>486</v>
      </c>
      <c r="M171" s="27" t="s">
        <v>602</v>
      </c>
      <c r="N171" s="24"/>
      <c r="O171" s="24" t="s">
        <v>521</v>
      </c>
      <c r="P171" s="23"/>
      <c r="Q171" s="23" t="s">
        <v>603</v>
      </c>
      <c r="R171" s="31">
        <v>37530</v>
      </c>
      <c r="S171" s="31">
        <v>38412</v>
      </c>
      <c r="T171" s="39">
        <v>30</v>
      </c>
      <c r="U171" s="40">
        <v>1</v>
      </c>
      <c r="V171" s="40">
        <v>0</v>
      </c>
      <c r="W171" s="40"/>
      <c r="X171" s="23"/>
      <c r="Y171" s="23"/>
      <c r="Z171" s="23"/>
      <c r="AA171" s="23"/>
      <c r="AB171" s="23"/>
      <c r="AC171" s="36"/>
      <c r="AD171" s="36"/>
      <c r="AE171" s="23"/>
      <c r="AF171" s="23"/>
      <c r="AG171" s="23"/>
      <c r="AH171" s="23"/>
      <c r="AI171" s="23"/>
      <c r="AJ171" s="36"/>
      <c r="AK171" s="23"/>
    </row>
    <row r="172" spans="1:37" hidden="1" x14ac:dyDescent="0.3">
      <c r="B172" s="23" t="s">
        <v>591</v>
      </c>
      <c r="C172" s="34"/>
      <c r="D172" s="23"/>
      <c r="E172" s="23"/>
      <c r="F172" s="23"/>
      <c r="G172" s="35"/>
      <c r="H172" s="36"/>
      <c r="I172" s="36"/>
      <c r="J172" s="35"/>
      <c r="K172" s="35"/>
      <c r="L172" s="24" t="s">
        <v>486</v>
      </c>
      <c r="M172" s="24" t="s">
        <v>604</v>
      </c>
      <c r="N172" s="44"/>
      <c r="O172" s="24" t="s">
        <v>521</v>
      </c>
      <c r="P172" s="23"/>
      <c r="Q172" s="23" t="s">
        <v>605</v>
      </c>
      <c r="R172" s="31">
        <v>37438</v>
      </c>
      <c r="S172" s="31">
        <v>37530</v>
      </c>
      <c r="T172" s="39">
        <v>4</v>
      </c>
      <c r="U172" s="40">
        <v>0</v>
      </c>
      <c r="V172" s="40">
        <v>0</v>
      </c>
      <c r="W172" s="40"/>
      <c r="X172" s="23"/>
      <c r="Y172" s="23"/>
      <c r="Z172" s="23"/>
      <c r="AA172" s="23"/>
      <c r="AB172" s="23"/>
      <c r="AC172" s="36"/>
      <c r="AD172" s="36"/>
      <c r="AE172" s="23"/>
      <c r="AF172" s="23"/>
      <c r="AG172" s="23"/>
      <c r="AH172" s="23"/>
      <c r="AI172" s="23"/>
      <c r="AJ172" s="36"/>
      <c r="AK172" s="23"/>
    </row>
    <row r="173" spans="1:37" hidden="1" x14ac:dyDescent="0.3">
      <c r="B173" s="23" t="s">
        <v>591</v>
      </c>
      <c r="C173" s="34"/>
      <c r="D173" s="23"/>
      <c r="E173" s="23"/>
      <c r="F173" s="23"/>
      <c r="G173" s="35"/>
      <c r="H173" s="36"/>
      <c r="I173" s="36"/>
      <c r="J173" s="35"/>
      <c r="K173" s="35"/>
      <c r="L173" s="24" t="s">
        <v>486</v>
      </c>
      <c r="M173" s="24" t="s">
        <v>606</v>
      </c>
      <c r="N173" s="25"/>
      <c r="O173" s="27" t="s">
        <v>521</v>
      </c>
      <c r="P173" s="23" t="s">
        <v>186</v>
      </c>
      <c r="Q173" s="23" t="s">
        <v>605</v>
      </c>
      <c r="R173" s="31">
        <v>37257</v>
      </c>
      <c r="S173" s="31">
        <v>37408</v>
      </c>
      <c r="T173" s="39">
        <v>6</v>
      </c>
      <c r="U173" s="40">
        <v>0</v>
      </c>
      <c r="V173" s="40">
        <v>0</v>
      </c>
      <c r="W173" s="40"/>
      <c r="X173" s="23"/>
      <c r="Y173" s="23"/>
      <c r="Z173" s="23"/>
      <c r="AA173" s="23"/>
      <c r="AB173" s="23"/>
      <c r="AC173" s="36"/>
      <c r="AD173" s="36"/>
      <c r="AE173" s="23"/>
      <c r="AF173" s="23"/>
      <c r="AG173" s="23"/>
      <c r="AH173" s="23"/>
      <c r="AI173" s="23"/>
      <c r="AJ173" s="36"/>
      <c r="AK173" s="23"/>
    </row>
    <row r="174" spans="1:37" hidden="1" x14ac:dyDescent="0.3">
      <c r="B174" s="23" t="s">
        <v>591</v>
      </c>
      <c r="C174" s="34"/>
      <c r="D174" s="23"/>
      <c r="E174" s="23"/>
      <c r="F174" s="23"/>
      <c r="G174" s="35"/>
      <c r="H174" s="36"/>
      <c r="I174" s="36"/>
      <c r="J174" s="35"/>
      <c r="K174" s="35"/>
      <c r="L174" s="27" t="s">
        <v>486</v>
      </c>
      <c r="M174" s="27" t="s">
        <v>607</v>
      </c>
      <c r="N174" s="24"/>
      <c r="O174" s="27" t="s">
        <v>521</v>
      </c>
      <c r="P174" s="23"/>
      <c r="Q174" s="23" t="s">
        <v>605</v>
      </c>
      <c r="R174" s="31">
        <v>37012</v>
      </c>
      <c r="S174" s="31">
        <v>37226</v>
      </c>
      <c r="T174" s="39">
        <v>8</v>
      </c>
      <c r="U174" s="40">
        <v>0</v>
      </c>
      <c r="V174" s="40">
        <v>0</v>
      </c>
      <c r="W174" s="40"/>
      <c r="X174" s="23"/>
      <c r="Y174" s="23"/>
      <c r="Z174" s="23"/>
      <c r="AA174" s="23"/>
      <c r="AB174" s="23"/>
      <c r="AC174" s="36"/>
      <c r="AD174" s="36"/>
      <c r="AE174" s="23"/>
      <c r="AF174" s="23"/>
      <c r="AG174" s="23"/>
      <c r="AH174" s="23"/>
      <c r="AI174" s="23"/>
      <c r="AJ174" s="36"/>
      <c r="AK174" s="23"/>
    </row>
    <row r="175" spans="1:37" ht="33" hidden="1" x14ac:dyDescent="0.3">
      <c r="B175" s="23" t="s">
        <v>591</v>
      </c>
      <c r="C175" s="34"/>
      <c r="D175" s="23"/>
      <c r="E175" s="23"/>
      <c r="F175" s="23"/>
      <c r="G175" s="35"/>
      <c r="H175" s="36"/>
      <c r="I175" s="36"/>
      <c r="J175" s="35"/>
      <c r="K175" s="35"/>
      <c r="L175" s="27" t="s">
        <v>486</v>
      </c>
      <c r="M175" s="27" t="s">
        <v>608</v>
      </c>
      <c r="N175" s="24"/>
      <c r="O175" s="24" t="s">
        <v>521</v>
      </c>
      <c r="P175" s="23"/>
      <c r="Q175" s="23" t="s">
        <v>603</v>
      </c>
      <c r="R175" s="31">
        <v>36892</v>
      </c>
      <c r="S175" s="31">
        <v>36982</v>
      </c>
      <c r="T175" s="39">
        <v>4</v>
      </c>
      <c r="U175" s="40">
        <v>1</v>
      </c>
      <c r="V175" s="40">
        <v>0</v>
      </c>
      <c r="W175" s="40"/>
      <c r="X175" s="23"/>
      <c r="Y175" s="23"/>
      <c r="Z175" s="23"/>
      <c r="AA175" s="23"/>
      <c r="AB175" s="23"/>
      <c r="AC175" s="36"/>
      <c r="AD175" s="36"/>
      <c r="AE175" s="23"/>
      <c r="AF175" s="23"/>
      <c r="AG175" s="23"/>
      <c r="AH175" s="23"/>
      <c r="AI175" s="23"/>
      <c r="AJ175" s="36"/>
      <c r="AK175" s="23"/>
    </row>
    <row r="176" spans="1:37" ht="33" hidden="1" x14ac:dyDescent="0.3">
      <c r="B176" s="23" t="s">
        <v>591</v>
      </c>
      <c r="C176" s="34"/>
      <c r="D176" s="23"/>
      <c r="E176" s="23"/>
      <c r="F176" s="23"/>
      <c r="G176" s="35"/>
      <c r="H176" s="36"/>
      <c r="I176" s="36"/>
      <c r="J176" s="35"/>
      <c r="K176" s="35"/>
      <c r="L176" s="25" t="s">
        <v>486</v>
      </c>
      <c r="M176" s="24" t="s">
        <v>609</v>
      </c>
      <c r="N176" s="44"/>
      <c r="O176" s="24" t="s">
        <v>521</v>
      </c>
      <c r="P176" s="23"/>
      <c r="Q176" s="23" t="s">
        <v>603</v>
      </c>
      <c r="R176" s="31">
        <v>36526</v>
      </c>
      <c r="S176" s="31">
        <v>36892</v>
      </c>
      <c r="T176" s="39">
        <v>13</v>
      </c>
      <c r="U176" s="40">
        <v>0</v>
      </c>
      <c r="V176" s="40">
        <v>56</v>
      </c>
      <c r="W176" s="40"/>
      <c r="X176" s="23"/>
      <c r="Y176" s="23"/>
      <c r="Z176" s="23"/>
      <c r="AA176" s="23"/>
      <c r="AB176" s="23"/>
      <c r="AC176" s="36"/>
      <c r="AD176" s="36"/>
      <c r="AE176" s="23"/>
      <c r="AF176" s="23"/>
      <c r="AG176" s="23"/>
      <c r="AH176" s="23"/>
      <c r="AI176" s="23"/>
      <c r="AJ176" s="36"/>
      <c r="AK176" s="23"/>
    </row>
    <row r="177" spans="1:37" ht="33" hidden="1" x14ac:dyDescent="0.3">
      <c r="B177" s="23" t="s">
        <v>591</v>
      </c>
      <c r="C177" s="34"/>
      <c r="D177" s="23"/>
      <c r="E177" s="23"/>
      <c r="F177" s="23"/>
      <c r="G177" s="35"/>
      <c r="H177" s="36"/>
      <c r="I177" s="36"/>
      <c r="J177" s="35"/>
      <c r="K177" s="35"/>
      <c r="L177" s="27" t="s">
        <v>486</v>
      </c>
      <c r="M177" s="27" t="s">
        <v>610</v>
      </c>
      <c r="N177" s="24"/>
      <c r="O177" s="24" t="s">
        <v>521</v>
      </c>
      <c r="P177" s="23"/>
      <c r="Q177" s="31" t="s">
        <v>603</v>
      </c>
      <c r="R177" s="31">
        <v>33848</v>
      </c>
      <c r="S177" s="31">
        <v>34790</v>
      </c>
      <c r="T177" s="39">
        <v>32</v>
      </c>
      <c r="U177" s="40">
        <v>0</v>
      </c>
      <c r="V177" s="40">
        <v>38</v>
      </c>
      <c r="W177" s="40"/>
      <c r="X177" s="23"/>
      <c r="Y177" s="23"/>
      <c r="Z177" s="23"/>
      <c r="AA177" s="23"/>
      <c r="AB177" s="23"/>
      <c r="AC177" s="36"/>
      <c r="AD177" s="36"/>
      <c r="AE177" s="23"/>
      <c r="AF177" s="23"/>
      <c r="AG177" s="23"/>
      <c r="AH177" s="23"/>
      <c r="AI177" s="23"/>
      <c r="AJ177" s="36"/>
      <c r="AK177" s="23"/>
    </row>
    <row r="178" spans="1:37" ht="33" hidden="1" x14ac:dyDescent="0.3">
      <c r="B178" s="23" t="s">
        <v>591</v>
      </c>
      <c r="C178" s="34"/>
      <c r="D178" s="23"/>
      <c r="E178" s="23"/>
      <c r="F178" s="23"/>
      <c r="G178" s="35"/>
      <c r="H178" s="36"/>
      <c r="I178" s="36"/>
      <c r="J178" s="35"/>
      <c r="K178" s="35"/>
      <c r="L178" s="27" t="s">
        <v>486</v>
      </c>
      <c r="M178" s="27" t="s">
        <v>611</v>
      </c>
      <c r="N178" s="24"/>
      <c r="O178" s="24" t="s">
        <v>53</v>
      </c>
      <c r="P178" s="23"/>
      <c r="Q178" s="23" t="s">
        <v>603</v>
      </c>
      <c r="R178" s="31">
        <v>32203</v>
      </c>
      <c r="S178" s="31">
        <v>32660</v>
      </c>
      <c r="T178" s="39">
        <v>16</v>
      </c>
      <c r="U178" s="40">
        <v>0</v>
      </c>
      <c r="V178" s="40">
        <v>11</v>
      </c>
      <c r="W178" s="40"/>
      <c r="X178" s="23"/>
      <c r="Y178" s="23"/>
      <c r="Z178" s="23"/>
      <c r="AA178" s="23"/>
      <c r="AB178" s="23"/>
      <c r="AC178" s="36"/>
      <c r="AD178" s="36"/>
      <c r="AE178" s="23"/>
      <c r="AF178" s="23"/>
      <c r="AG178" s="23"/>
      <c r="AH178" s="23"/>
      <c r="AI178" s="23"/>
      <c r="AJ178" s="36"/>
      <c r="AK178" s="23"/>
    </row>
    <row r="179" spans="1:37" hidden="1" x14ac:dyDescent="0.3">
      <c r="B179" s="23" t="s">
        <v>597</v>
      </c>
      <c r="C179" s="34"/>
      <c r="D179" s="23"/>
      <c r="E179" s="23"/>
      <c r="F179" s="23"/>
      <c r="G179" s="35"/>
      <c r="H179" s="36"/>
      <c r="I179" s="36"/>
      <c r="J179" s="35"/>
      <c r="K179" s="35"/>
      <c r="L179" s="24" t="s">
        <v>486</v>
      </c>
      <c r="M179" s="24" t="s">
        <v>612</v>
      </c>
      <c r="N179" s="25"/>
      <c r="O179" s="24" t="s">
        <v>521</v>
      </c>
      <c r="P179" s="23"/>
      <c r="Q179" s="23" t="s">
        <v>605</v>
      </c>
      <c r="R179" s="31">
        <v>31656</v>
      </c>
      <c r="S179" s="31">
        <v>31837</v>
      </c>
      <c r="T179" s="39">
        <v>7</v>
      </c>
      <c r="U179" s="40">
        <v>1</v>
      </c>
      <c r="V179" s="40">
        <v>0</v>
      </c>
      <c r="W179" s="40"/>
      <c r="X179" s="23"/>
      <c r="Y179" s="23"/>
      <c r="Z179" s="23"/>
      <c r="AA179" s="23"/>
      <c r="AB179" s="23"/>
      <c r="AC179" s="36"/>
      <c r="AD179" s="36"/>
      <c r="AE179" s="23"/>
      <c r="AF179" s="23"/>
      <c r="AG179" s="23"/>
      <c r="AH179" s="23"/>
      <c r="AI179" s="23"/>
      <c r="AJ179" s="36"/>
      <c r="AK179" s="23"/>
    </row>
    <row r="180" spans="1:37" hidden="1" x14ac:dyDescent="0.3">
      <c r="B180" s="23" t="s">
        <v>591</v>
      </c>
      <c r="C180" s="34"/>
      <c r="D180" s="23"/>
      <c r="E180" s="23"/>
      <c r="F180" s="23"/>
      <c r="G180" s="35"/>
      <c r="H180" s="36"/>
      <c r="I180" s="36"/>
      <c r="J180" s="35"/>
      <c r="K180" s="35"/>
      <c r="L180" s="27" t="s">
        <v>613</v>
      </c>
      <c r="M180" s="27" t="s">
        <v>614</v>
      </c>
      <c r="N180" s="24"/>
      <c r="O180" s="27"/>
      <c r="P180" s="23"/>
      <c r="Q180" s="23" t="s">
        <v>605</v>
      </c>
      <c r="R180" s="31">
        <v>31291</v>
      </c>
      <c r="S180" s="31">
        <v>31656</v>
      </c>
      <c r="T180" s="39">
        <v>13</v>
      </c>
      <c r="U180" s="40">
        <v>2</v>
      </c>
      <c r="V180" s="40">
        <v>0</v>
      </c>
      <c r="W180" s="40"/>
      <c r="X180" s="23"/>
      <c r="Y180" s="23"/>
      <c r="Z180" s="23"/>
      <c r="AA180" s="23"/>
      <c r="AB180" s="23"/>
      <c r="AC180" s="36"/>
      <c r="AD180" s="36"/>
      <c r="AE180" s="23"/>
      <c r="AF180" s="23"/>
      <c r="AG180" s="23"/>
      <c r="AH180" s="23"/>
      <c r="AI180" s="23"/>
      <c r="AJ180" s="36"/>
      <c r="AK180" s="23"/>
    </row>
    <row r="181" spans="1:37" hidden="1" x14ac:dyDescent="0.3">
      <c r="B181" s="23" t="s">
        <v>591</v>
      </c>
      <c r="C181" s="34"/>
      <c r="D181" s="23"/>
      <c r="E181" s="23"/>
      <c r="F181" s="23"/>
      <c r="G181" s="35"/>
      <c r="H181" s="36"/>
      <c r="I181" s="36"/>
      <c r="J181" s="35"/>
      <c r="K181" s="35"/>
      <c r="L181" s="27" t="s">
        <v>486</v>
      </c>
      <c r="M181" s="27" t="s">
        <v>615</v>
      </c>
      <c r="N181" s="24"/>
      <c r="O181" s="27" t="s">
        <v>521</v>
      </c>
      <c r="P181" s="23"/>
      <c r="Q181" s="23" t="s">
        <v>605</v>
      </c>
      <c r="R181" s="31">
        <v>30803</v>
      </c>
      <c r="S181" s="31">
        <v>31321</v>
      </c>
      <c r="T181" s="39">
        <v>18</v>
      </c>
      <c r="U181" s="40">
        <v>0</v>
      </c>
      <c r="V181" s="40">
        <v>0</v>
      </c>
      <c r="W181" s="40"/>
      <c r="X181" s="23"/>
      <c r="Y181" s="23"/>
      <c r="Z181" s="23"/>
      <c r="AA181" s="23"/>
      <c r="AB181" s="23"/>
      <c r="AC181" s="36"/>
      <c r="AD181" s="36"/>
      <c r="AE181" s="23"/>
      <c r="AF181" s="23"/>
      <c r="AG181" s="23"/>
      <c r="AH181" s="23"/>
      <c r="AI181" s="23"/>
      <c r="AJ181" s="36"/>
      <c r="AK181" s="23"/>
    </row>
    <row r="182" spans="1:37" hidden="1" x14ac:dyDescent="0.3">
      <c r="B182" s="23" t="s">
        <v>591</v>
      </c>
      <c r="C182" s="34"/>
      <c r="D182" s="23"/>
      <c r="E182" s="23"/>
      <c r="F182" s="23"/>
      <c r="G182" s="35"/>
      <c r="H182" s="36"/>
      <c r="I182" s="36"/>
      <c r="J182" s="35"/>
      <c r="K182" s="35"/>
      <c r="L182" s="24" t="s">
        <v>486</v>
      </c>
      <c r="M182" s="24" t="s">
        <v>616</v>
      </c>
      <c r="N182" s="44"/>
      <c r="O182" s="24" t="s">
        <v>521</v>
      </c>
      <c r="P182" s="23"/>
      <c r="Q182" s="23" t="s">
        <v>605</v>
      </c>
      <c r="R182" s="31">
        <v>30286</v>
      </c>
      <c r="S182" s="31">
        <v>30773</v>
      </c>
      <c r="T182" s="39">
        <v>17</v>
      </c>
      <c r="U182" s="40">
        <v>0</v>
      </c>
      <c r="V182" s="40">
        <v>0</v>
      </c>
      <c r="W182" s="40"/>
      <c r="X182" s="23"/>
      <c r="Y182" s="23"/>
      <c r="Z182" s="23"/>
      <c r="AA182" s="23"/>
      <c r="AB182" s="23"/>
      <c r="AC182" s="36"/>
      <c r="AD182" s="36"/>
      <c r="AE182" s="23"/>
      <c r="AF182" s="23"/>
      <c r="AG182" s="23"/>
      <c r="AH182" s="23"/>
      <c r="AI182" s="23"/>
      <c r="AJ182" s="36"/>
      <c r="AK182" s="23"/>
    </row>
    <row r="183" spans="1:37" hidden="1" x14ac:dyDescent="0.3">
      <c r="B183" s="23" t="s">
        <v>591</v>
      </c>
      <c r="C183" s="34"/>
      <c r="D183" s="23"/>
      <c r="E183" s="23"/>
      <c r="F183" s="23"/>
      <c r="G183" s="35"/>
      <c r="H183" s="36"/>
      <c r="I183" s="36"/>
      <c r="J183" s="35"/>
      <c r="K183" s="35"/>
      <c r="L183" s="24" t="s">
        <v>565</v>
      </c>
      <c r="M183" s="24" t="s">
        <v>617</v>
      </c>
      <c r="N183" s="44"/>
      <c r="O183" s="24" t="s">
        <v>521</v>
      </c>
      <c r="P183" s="23"/>
      <c r="Q183" s="23" t="s">
        <v>605</v>
      </c>
      <c r="R183" s="31">
        <v>29983</v>
      </c>
      <c r="S183" s="31">
        <v>30256</v>
      </c>
      <c r="T183" s="39">
        <v>10</v>
      </c>
      <c r="U183" s="40">
        <v>1</v>
      </c>
      <c r="V183" s="40">
        <v>0</v>
      </c>
      <c r="W183" s="40"/>
      <c r="X183" s="23"/>
      <c r="Y183" s="23"/>
      <c r="Z183" s="23"/>
      <c r="AA183" s="23"/>
      <c r="AB183" s="23"/>
      <c r="AC183" s="36"/>
      <c r="AD183" s="36"/>
      <c r="AE183" s="23"/>
      <c r="AF183" s="23"/>
      <c r="AG183" s="23"/>
      <c r="AH183" s="23"/>
      <c r="AI183" s="23"/>
      <c r="AJ183" s="36"/>
      <c r="AK183" s="23"/>
    </row>
    <row r="184" spans="1:37" hidden="1" x14ac:dyDescent="0.3">
      <c r="B184" s="23" t="s">
        <v>597</v>
      </c>
      <c r="C184" s="34"/>
      <c r="D184" s="23"/>
      <c r="E184" s="23"/>
      <c r="F184" s="23"/>
      <c r="G184" s="35"/>
      <c r="H184" s="36"/>
      <c r="I184" s="36"/>
      <c r="J184" s="35"/>
      <c r="K184" s="35"/>
      <c r="L184" s="24" t="s">
        <v>618</v>
      </c>
      <c r="M184" s="24" t="s">
        <v>619</v>
      </c>
      <c r="N184" s="25"/>
      <c r="O184" s="24" t="s">
        <v>620</v>
      </c>
      <c r="P184" s="23"/>
      <c r="Q184" s="23" t="s">
        <v>605</v>
      </c>
      <c r="R184" s="31">
        <v>29618</v>
      </c>
      <c r="S184" s="31">
        <v>29983</v>
      </c>
      <c r="T184" s="39">
        <v>13</v>
      </c>
      <c r="U184" s="40">
        <v>6</v>
      </c>
      <c r="V184" s="40">
        <v>0</v>
      </c>
      <c r="W184" s="40"/>
      <c r="X184" s="23"/>
      <c r="Y184" s="23"/>
      <c r="Z184" s="23"/>
      <c r="AA184" s="23"/>
      <c r="AB184" s="23"/>
      <c r="AC184" s="36"/>
      <c r="AD184" s="36"/>
      <c r="AE184" s="23"/>
      <c r="AF184" s="23"/>
      <c r="AG184" s="23"/>
      <c r="AH184" s="23"/>
      <c r="AI184" s="23"/>
      <c r="AJ184" s="36"/>
      <c r="AK184" s="23"/>
    </row>
    <row r="185" spans="1:37" ht="33" hidden="1" x14ac:dyDescent="0.3">
      <c r="B185" s="23" t="s">
        <v>597</v>
      </c>
      <c r="C185" s="34"/>
      <c r="D185" s="23"/>
      <c r="E185" s="23"/>
      <c r="F185" s="23"/>
      <c r="G185" s="35"/>
      <c r="H185" s="36"/>
      <c r="I185" s="36"/>
      <c r="J185" s="35"/>
      <c r="K185" s="35"/>
      <c r="L185" s="27" t="s">
        <v>587</v>
      </c>
      <c r="M185" s="27" t="s">
        <v>621</v>
      </c>
      <c r="N185" s="24"/>
      <c r="O185" s="24"/>
      <c r="P185" s="23"/>
      <c r="Q185" s="23" t="s">
        <v>605</v>
      </c>
      <c r="R185" s="31">
        <v>29252</v>
      </c>
      <c r="S185" s="31">
        <v>29768</v>
      </c>
      <c r="T185" s="39">
        <v>18</v>
      </c>
      <c r="U185" s="40">
        <v>0</v>
      </c>
      <c r="V185" s="40">
        <v>70</v>
      </c>
      <c r="W185" s="40"/>
      <c r="X185" s="23"/>
      <c r="Y185" s="23"/>
      <c r="Z185" s="23"/>
      <c r="AA185" s="23"/>
      <c r="AB185" s="23"/>
      <c r="AC185" s="36"/>
      <c r="AD185" s="36"/>
      <c r="AE185" s="23"/>
      <c r="AF185" s="23"/>
      <c r="AG185" s="23"/>
      <c r="AH185" s="23"/>
      <c r="AI185" s="23"/>
      <c r="AJ185" s="36"/>
      <c r="AK185" s="23"/>
    </row>
    <row r="186" spans="1:37" hidden="1" x14ac:dyDescent="0.3">
      <c r="B186" s="23" t="s">
        <v>591</v>
      </c>
      <c r="C186" s="34"/>
      <c r="D186" s="23"/>
      <c r="E186" s="23"/>
      <c r="F186" s="23"/>
      <c r="G186" s="35"/>
      <c r="H186" s="36"/>
      <c r="I186" s="36"/>
      <c r="J186" s="35"/>
      <c r="K186" s="35"/>
      <c r="L186" s="27" t="s">
        <v>486</v>
      </c>
      <c r="M186" s="27" t="s">
        <v>622</v>
      </c>
      <c r="N186" s="24"/>
      <c r="O186" s="24" t="s">
        <v>521</v>
      </c>
      <c r="P186" s="23"/>
      <c r="Q186" s="23" t="s">
        <v>605</v>
      </c>
      <c r="R186" s="31">
        <v>26665</v>
      </c>
      <c r="S186" s="31">
        <v>27089</v>
      </c>
      <c r="T186" s="39">
        <v>15</v>
      </c>
      <c r="U186" s="40">
        <v>36</v>
      </c>
      <c r="V186" s="40">
        <v>0</v>
      </c>
      <c r="W186" s="40"/>
      <c r="X186" s="23"/>
      <c r="Y186" s="23"/>
      <c r="Z186" s="23"/>
      <c r="AA186" s="23"/>
      <c r="AB186" s="23"/>
      <c r="AC186" s="36"/>
      <c r="AD186" s="36"/>
      <c r="AE186" s="23"/>
      <c r="AF186" s="23"/>
      <c r="AG186" s="23"/>
      <c r="AH186" s="23"/>
      <c r="AI186" s="23"/>
      <c r="AJ186" s="36"/>
      <c r="AK186" s="23"/>
    </row>
    <row r="187" spans="1:37" hidden="1" x14ac:dyDescent="0.3">
      <c r="B187" s="23" t="s">
        <v>591</v>
      </c>
      <c r="C187" s="34"/>
      <c r="D187" s="23"/>
      <c r="E187" s="23"/>
      <c r="F187" s="23"/>
      <c r="G187" s="35"/>
      <c r="H187" s="36"/>
      <c r="I187" s="36"/>
      <c r="J187" s="35"/>
      <c r="K187" s="35"/>
      <c r="L187" s="27" t="s">
        <v>486</v>
      </c>
      <c r="M187" s="27" t="s">
        <v>623</v>
      </c>
      <c r="N187" s="24"/>
      <c r="O187" s="27" t="s">
        <v>53</v>
      </c>
      <c r="P187" s="23"/>
      <c r="Q187" s="23" t="s">
        <v>605</v>
      </c>
      <c r="R187" s="31">
        <v>26543</v>
      </c>
      <c r="S187" s="31">
        <v>27729</v>
      </c>
      <c r="T187" s="39">
        <v>40</v>
      </c>
      <c r="U187" s="40">
        <v>0</v>
      </c>
      <c r="V187" s="40">
        <v>0</v>
      </c>
      <c r="W187" s="40"/>
      <c r="X187" s="23"/>
      <c r="Y187" s="23"/>
      <c r="Z187" s="23"/>
      <c r="AA187" s="23"/>
      <c r="AB187" s="23"/>
      <c r="AC187" s="36"/>
      <c r="AD187" s="36"/>
      <c r="AE187" s="23"/>
      <c r="AF187" s="23"/>
      <c r="AG187" s="23"/>
      <c r="AH187" s="23"/>
      <c r="AI187" s="23"/>
      <c r="AJ187" s="36"/>
      <c r="AK187" s="23"/>
    </row>
    <row r="188" spans="1:37" hidden="1" x14ac:dyDescent="0.3">
      <c r="B188" s="23"/>
      <c r="C188" s="34"/>
      <c r="D188" s="23"/>
      <c r="E188" s="23"/>
      <c r="F188" s="23"/>
      <c r="G188" s="35"/>
      <c r="H188" s="36"/>
      <c r="I188" s="36"/>
      <c r="J188" s="35"/>
      <c r="K188" s="35"/>
      <c r="L188" s="27"/>
      <c r="M188" s="27"/>
      <c r="N188" s="24"/>
      <c r="O188" s="27"/>
      <c r="P188" s="23"/>
      <c r="Q188" s="23"/>
      <c r="R188" s="31"/>
      <c r="S188" s="31"/>
      <c r="T188" s="39"/>
      <c r="U188" s="40"/>
      <c r="V188" s="40"/>
      <c r="W188" s="40"/>
      <c r="X188" s="23"/>
      <c r="Y188" s="23"/>
      <c r="Z188" s="23"/>
      <c r="AA188" s="23"/>
      <c r="AB188" s="23"/>
      <c r="AC188" s="36"/>
      <c r="AD188" s="36"/>
      <c r="AE188" s="23"/>
      <c r="AF188" s="23"/>
      <c r="AG188" s="23"/>
      <c r="AH188" s="23"/>
      <c r="AI188" s="23"/>
      <c r="AJ188" s="36"/>
      <c r="AK188" s="23"/>
    </row>
    <row r="189" spans="1:37" ht="33" x14ac:dyDescent="0.3">
      <c r="A189">
        <v>12</v>
      </c>
      <c r="B189" s="23" t="s">
        <v>624</v>
      </c>
      <c r="C189" s="34">
        <v>18213</v>
      </c>
      <c r="D189" s="23" t="s">
        <v>625</v>
      </c>
      <c r="E189" s="23" t="s">
        <v>626</v>
      </c>
      <c r="F189" s="23" t="s">
        <v>26</v>
      </c>
      <c r="G189" s="35">
        <v>40695</v>
      </c>
      <c r="H189" s="43">
        <v>11.583333333333334</v>
      </c>
      <c r="I189" s="36" t="s">
        <v>27</v>
      </c>
      <c r="J189" s="35">
        <v>44893</v>
      </c>
      <c r="K189" s="35"/>
      <c r="L189" s="42" t="s">
        <v>627</v>
      </c>
      <c r="M189" s="27" t="s">
        <v>628</v>
      </c>
      <c r="N189" s="37"/>
      <c r="O189" s="27" t="s">
        <v>65</v>
      </c>
      <c r="P189" s="37" t="s">
        <v>31</v>
      </c>
      <c r="Q189" s="23" t="s">
        <v>629</v>
      </c>
      <c r="R189" s="41">
        <v>42917</v>
      </c>
      <c r="S189" s="41">
        <v>44136</v>
      </c>
      <c r="T189" s="39">
        <v>41</v>
      </c>
      <c r="U189" s="40">
        <v>0</v>
      </c>
      <c r="V189" s="40">
        <v>11</v>
      </c>
      <c r="W189" s="40"/>
      <c r="X189" s="23"/>
      <c r="Y189" s="23"/>
      <c r="Z189" s="23"/>
      <c r="AA189" s="23" t="s">
        <v>58</v>
      </c>
      <c r="AB189" s="23" t="s">
        <v>85</v>
      </c>
      <c r="AC189" s="36">
        <v>31.67</v>
      </c>
      <c r="AD189" s="36">
        <v>8</v>
      </c>
      <c r="AE189" s="23">
        <v>3</v>
      </c>
      <c r="AF189" s="23">
        <v>0</v>
      </c>
      <c r="AG189" s="23">
        <v>12</v>
      </c>
      <c r="AH189" s="23">
        <v>0</v>
      </c>
      <c r="AI189" s="23">
        <v>25.42</v>
      </c>
      <c r="AJ189" s="36">
        <v>15.83</v>
      </c>
      <c r="AK189" s="23">
        <v>7</v>
      </c>
    </row>
    <row r="190" spans="1:37" ht="33" hidden="1" x14ac:dyDescent="0.3">
      <c r="B190" s="23" t="s">
        <v>624</v>
      </c>
      <c r="C190" s="34"/>
      <c r="D190" s="23"/>
      <c r="E190" s="23"/>
      <c r="F190" s="23"/>
      <c r="G190" s="35"/>
      <c r="H190" s="36"/>
      <c r="I190" s="36"/>
      <c r="J190" s="35"/>
      <c r="K190" s="35"/>
      <c r="L190" s="23" t="s">
        <v>630</v>
      </c>
      <c r="M190" s="27" t="s">
        <v>631</v>
      </c>
      <c r="N190" s="37"/>
      <c r="O190" s="27" t="s">
        <v>65</v>
      </c>
      <c r="P190" s="37" t="s">
        <v>31</v>
      </c>
      <c r="Q190" s="23" t="s">
        <v>36</v>
      </c>
      <c r="R190" s="41">
        <v>41974</v>
      </c>
      <c r="S190" s="41">
        <v>42552</v>
      </c>
      <c r="T190" s="39">
        <v>20</v>
      </c>
      <c r="U190" s="40">
        <v>0</v>
      </c>
      <c r="V190" s="40">
        <v>0</v>
      </c>
      <c r="W190" s="40"/>
      <c r="X190" s="23"/>
      <c r="Y190" s="23"/>
      <c r="Z190" s="23"/>
      <c r="AA190" s="23"/>
      <c r="AB190" s="23"/>
      <c r="AC190" s="36"/>
      <c r="AD190" s="36"/>
      <c r="AE190" s="23"/>
      <c r="AF190" s="23"/>
      <c r="AG190" s="23"/>
      <c r="AH190" s="23"/>
      <c r="AI190" s="23"/>
      <c r="AJ190" s="36"/>
      <c r="AK190" s="23"/>
    </row>
    <row r="191" spans="1:37" ht="33" hidden="1" x14ac:dyDescent="0.3">
      <c r="B191" s="23" t="s">
        <v>624</v>
      </c>
      <c r="C191" s="34"/>
      <c r="D191" s="23"/>
      <c r="E191" s="23"/>
      <c r="F191" s="23"/>
      <c r="G191" s="35"/>
      <c r="H191" s="36"/>
      <c r="I191" s="36"/>
      <c r="J191" s="35"/>
      <c r="K191" s="35"/>
      <c r="L191" s="23" t="s">
        <v>630</v>
      </c>
      <c r="M191" s="23" t="s">
        <v>632</v>
      </c>
      <c r="N191" s="37"/>
      <c r="O191" s="27" t="s">
        <v>633</v>
      </c>
      <c r="P191" s="37" t="s">
        <v>31</v>
      </c>
      <c r="Q191" s="23" t="s">
        <v>36</v>
      </c>
      <c r="R191" s="41">
        <v>40909</v>
      </c>
      <c r="S191" s="41">
        <v>41944</v>
      </c>
      <c r="T191" s="39">
        <v>35</v>
      </c>
      <c r="U191" s="40">
        <v>0</v>
      </c>
      <c r="V191" s="40">
        <v>12</v>
      </c>
      <c r="W191" s="40"/>
      <c r="X191" s="23"/>
      <c r="Y191" s="23"/>
      <c r="Z191" s="23"/>
      <c r="AA191" s="23"/>
      <c r="AB191" s="23"/>
      <c r="AC191" s="36"/>
      <c r="AD191" s="36"/>
      <c r="AE191" s="23"/>
      <c r="AF191" s="23"/>
      <c r="AG191" s="23"/>
      <c r="AH191" s="23"/>
      <c r="AI191" s="23"/>
      <c r="AJ191" s="36"/>
      <c r="AK191" s="23"/>
    </row>
    <row r="192" spans="1:37" ht="33" hidden="1" x14ac:dyDescent="0.3">
      <c r="B192" s="23" t="s">
        <v>624</v>
      </c>
      <c r="C192" s="34"/>
      <c r="D192" s="23"/>
      <c r="E192" s="23"/>
      <c r="F192" s="23"/>
      <c r="G192" s="35"/>
      <c r="H192" s="36"/>
      <c r="I192" s="36"/>
      <c r="J192" s="35"/>
      <c r="K192" s="35"/>
      <c r="L192" s="23" t="s">
        <v>45</v>
      </c>
      <c r="M192" s="23" t="s">
        <v>634</v>
      </c>
      <c r="N192" s="37"/>
      <c r="O192" s="27" t="s">
        <v>633</v>
      </c>
      <c r="P192" s="37" t="s">
        <v>31</v>
      </c>
      <c r="Q192" s="23" t="s">
        <v>635</v>
      </c>
      <c r="R192" s="41">
        <v>39814</v>
      </c>
      <c r="S192" s="41">
        <v>40513</v>
      </c>
      <c r="T192" s="39">
        <v>24</v>
      </c>
      <c r="U192" s="40">
        <v>0</v>
      </c>
      <c r="V192" s="40">
        <v>6</v>
      </c>
      <c r="W192" s="40"/>
      <c r="X192" s="23"/>
      <c r="Y192" s="23"/>
      <c r="Z192" s="23"/>
      <c r="AA192" s="23"/>
      <c r="AB192" s="23"/>
      <c r="AC192" s="36"/>
      <c r="AD192" s="36"/>
      <c r="AE192" s="23"/>
      <c r="AF192" s="23"/>
      <c r="AG192" s="23"/>
      <c r="AH192" s="23"/>
      <c r="AI192" s="23"/>
      <c r="AJ192" s="36"/>
      <c r="AK192" s="23"/>
    </row>
    <row r="193" spans="1:37" ht="33" hidden="1" x14ac:dyDescent="0.3">
      <c r="B193" s="23" t="s">
        <v>636</v>
      </c>
      <c r="C193" s="34"/>
      <c r="D193" s="23"/>
      <c r="E193" s="23"/>
      <c r="F193" s="23"/>
      <c r="G193" s="35"/>
      <c r="H193" s="36"/>
      <c r="I193" s="36"/>
      <c r="J193" s="35"/>
      <c r="K193" s="35"/>
      <c r="L193" s="23" t="s">
        <v>48</v>
      </c>
      <c r="M193" s="23" t="s">
        <v>637</v>
      </c>
      <c r="N193" s="37"/>
      <c r="O193" s="27" t="s">
        <v>638</v>
      </c>
      <c r="P193" s="37" t="s">
        <v>31</v>
      </c>
      <c r="Q193" s="23" t="s">
        <v>639</v>
      </c>
      <c r="R193" s="41">
        <v>39173</v>
      </c>
      <c r="S193" s="41">
        <v>39600</v>
      </c>
      <c r="T193" s="39">
        <v>15</v>
      </c>
      <c r="U193" s="40">
        <v>0</v>
      </c>
      <c r="V193" s="40">
        <v>41</v>
      </c>
      <c r="W193" s="40"/>
      <c r="X193" s="23"/>
      <c r="Y193" s="23"/>
      <c r="Z193" s="23"/>
      <c r="AA193" s="23"/>
      <c r="AB193" s="23"/>
      <c r="AC193" s="36"/>
      <c r="AD193" s="36"/>
      <c r="AE193" s="23"/>
      <c r="AF193" s="23"/>
      <c r="AG193" s="23"/>
      <c r="AH193" s="23"/>
      <c r="AI193" s="23"/>
      <c r="AJ193" s="36"/>
      <c r="AK193" s="23"/>
    </row>
    <row r="194" spans="1:37" ht="33" hidden="1" x14ac:dyDescent="0.3">
      <c r="B194" s="23" t="s">
        <v>624</v>
      </c>
      <c r="C194" s="34"/>
      <c r="D194" s="23"/>
      <c r="E194" s="23"/>
      <c r="F194" s="23"/>
      <c r="G194" s="35"/>
      <c r="H194" s="36"/>
      <c r="I194" s="36"/>
      <c r="J194" s="35"/>
      <c r="K194" s="35"/>
      <c r="L194" s="23" t="s">
        <v>640</v>
      </c>
      <c r="M194" s="23" t="s">
        <v>641</v>
      </c>
      <c r="N194" s="37"/>
      <c r="O194" s="27" t="s">
        <v>65</v>
      </c>
      <c r="P194" s="37" t="s">
        <v>642</v>
      </c>
      <c r="Q194" s="27" t="s">
        <v>643</v>
      </c>
      <c r="R194" s="41">
        <v>36892</v>
      </c>
      <c r="S194" s="41">
        <v>37895</v>
      </c>
      <c r="T194" s="39">
        <v>34</v>
      </c>
      <c r="U194" s="40">
        <v>0</v>
      </c>
      <c r="V194" s="40">
        <v>0</v>
      </c>
      <c r="W194" s="40"/>
      <c r="X194" s="23"/>
      <c r="Y194" s="23"/>
      <c r="Z194" s="23"/>
      <c r="AA194" s="23"/>
      <c r="AB194" s="23"/>
      <c r="AC194" s="36"/>
      <c r="AD194" s="36"/>
      <c r="AE194" s="23"/>
      <c r="AF194" s="23"/>
      <c r="AG194" s="23"/>
      <c r="AH194" s="23"/>
      <c r="AI194" s="23"/>
      <c r="AJ194" s="36"/>
      <c r="AK194" s="23"/>
    </row>
    <row r="195" spans="1:37" ht="33" hidden="1" x14ac:dyDescent="0.3">
      <c r="B195" s="23" t="s">
        <v>624</v>
      </c>
      <c r="C195" s="34"/>
      <c r="D195" s="23"/>
      <c r="E195" s="23"/>
      <c r="F195" s="23"/>
      <c r="G195" s="35"/>
      <c r="H195" s="36"/>
      <c r="I195" s="36"/>
      <c r="J195" s="35"/>
      <c r="K195" s="35"/>
      <c r="L195" s="23" t="s">
        <v>45</v>
      </c>
      <c r="M195" s="30" t="s">
        <v>644</v>
      </c>
      <c r="N195" s="37"/>
      <c r="O195" s="27" t="s">
        <v>633</v>
      </c>
      <c r="P195" s="37" t="s">
        <v>31</v>
      </c>
      <c r="Q195" s="23" t="s">
        <v>639</v>
      </c>
      <c r="R195" s="41">
        <v>35704</v>
      </c>
      <c r="S195" s="41">
        <v>36861</v>
      </c>
      <c r="T195" s="39">
        <v>39</v>
      </c>
      <c r="U195" s="40">
        <v>0</v>
      </c>
      <c r="V195" s="40">
        <v>4</v>
      </c>
      <c r="W195" s="40"/>
      <c r="X195" s="23"/>
      <c r="Y195" s="23"/>
      <c r="Z195" s="23"/>
      <c r="AA195" s="23"/>
      <c r="AB195" s="23"/>
      <c r="AC195" s="36"/>
      <c r="AD195" s="36"/>
      <c r="AE195" s="23"/>
      <c r="AF195" s="23"/>
      <c r="AG195" s="23"/>
      <c r="AH195" s="23"/>
      <c r="AI195" s="23"/>
      <c r="AJ195" s="36"/>
      <c r="AK195" s="23"/>
    </row>
    <row r="196" spans="1:37" hidden="1" x14ac:dyDescent="0.3">
      <c r="B196" s="23" t="s">
        <v>624</v>
      </c>
      <c r="C196" s="34"/>
      <c r="D196" s="23"/>
      <c r="E196" s="23"/>
      <c r="F196" s="23"/>
      <c r="G196" s="35"/>
      <c r="H196" s="36"/>
      <c r="I196" s="36"/>
      <c r="J196" s="35"/>
      <c r="K196" s="35"/>
      <c r="L196" s="23" t="s">
        <v>45</v>
      </c>
      <c r="M196" s="23" t="s">
        <v>645</v>
      </c>
      <c r="N196" s="37"/>
      <c r="O196" s="27" t="s">
        <v>646</v>
      </c>
      <c r="P196" s="37" t="s">
        <v>31</v>
      </c>
      <c r="Q196" s="23" t="s">
        <v>647</v>
      </c>
      <c r="R196" s="41">
        <v>34881</v>
      </c>
      <c r="S196" s="41">
        <v>35551</v>
      </c>
      <c r="T196" s="39">
        <v>23</v>
      </c>
      <c r="U196" s="40">
        <v>0</v>
      </c>
      <c r="V196" s="40">
        <v>0</v>
      </c>
      <c r="W196" s="40"/>
      <c r="X196" s="23"/>
      <c r="Y196" s="23"/>
      <c r="Z196" s="23"/>
      <c r="AA196" s="23"/>
      <c r="AB196" s="23"/>
      <c r="AC196" s="36"/>
      <c r="AD196" s="36"/>
      <c r="AE196" s="23"/>
      <c r="AF196" s="23"/>
      <c r="AG196" s="23"/>
      <c r="AH196" s="23"/>
      <c r="AI196" s="23"/>
      <c r="AJ196" s="36"/>
      <c r="AK196" s="23"/>
    </row>
    <row r="197" spans="1:37" hidden="1" x14ac:dyDescent="0.3">
      <c r="B197" s="23" t="s">
        <v>624</v>
      </c>
      <c r="C197" s="34"/>
      <c r="D197" s="23"/>
      <c r="E197" s="23"/>
      <c r="F197" s="23"/>
      <c r="G197" s="35"/>
      <c r="H197" s="36"/>
      <c r="I197" s="36"/>
      <c r="J197" s="35"/>
      <c r="K197" s="35"/>
      <c r="L197" s="23" t="s">
        <v>45</v>
      </c>
      <c r="M197" s="23" t="s">
        <v>648</v>
      </c>
      <c r="N197" s="37"/>
      <c r="O197" s="27" t="s">
        <v>65</v>
      </c>
      <c r="P197" s="37" t="s">
        <v>31</v>
      </c>
      <c r="Q197" s="23" t="s">
        <v>649</v>
      </c>
      <c r="R197" s="41">
        <v>34669</v>
      </c>
      <c r="S197" s="41">
        <v>34851</v>
      </c>
      <c r="T197" s="39">
        <v>7</v>
      </c>
      <c r="U197" s="40">
        <v>0</v>
      </c>
      <c r="V197" s="40">
        <v>17</v>
      </c>
      <c r="W197" s="40"/>
      <c r="X197" s="23"/>
      <c r="Y197" s="23"/>
      <c r="Z197" s="23"/>
      <c r="AA197" s="23"/>
      <c r="AB197" s="23"/>
      <c r="AC197" s="36"/>
      <c r="AD197" s="36"/>
      <c r="AE197" s="23"/>
      <c r="AF197" s="23"/>
      <c r="AG197" s="23"/>
      <c r="AH197" s="23"/>
      <c r="AI197" s="23"/>
      <c r="AJ197" s="36"/>
      <c r="AK197" s="23"/>
    </row>
    <row r="198" spans="1:37" hidden="1" x14ac:dyDescent="0.3">
      <c r="B198" s="23" t="s">
        <v>624</v>
      </c>
      <c r="C198" s="34"/>
      <c r="D198" s="23"/>
      <c r="E198" s="23"/>
      <c r="F198" s="23"/>
      <c r="G198" s="35"/>
      <c r="H198" s="36"/>
      <c r="I198" s="36"/>
      <c r="J198" s="35"/>
      <c r="K198" s="35"/>
      <c r="L198" s="23" t="s">
        <v>45</v>
      </c>
      <c r="M198" s="23" t="s">
        <v>650</v>
      </c>
      <c r="N198" s="37"/>
      <c r="O198" s="27" t="s">
        <v>65</v>
      </c>
      <c r="P198" s="37" t="s">
        <v>31</v>
      </c>
      <c r="Q198" s="23" t="s">
        <v>647</v>
      </c>
      <c r="R198" s="41">
        <v>33817</v>
      </c>
      <c r="S198" s="41">
        <v>34121</v>
      </c>
      <c r="T198" s="39">
        <v>11</v>
      </c>
      <c r="U198" s="40">
        <v>0</v>
      </c>
      <c r="V198" s="40">
        <v>9</v>
      </c>
      <c r="W198" s="40"/>
      <c r="X198" s="23"/>
      <c r="Y198" s="23"/>
      <c r="Z198" s="23"/>
      <c r="AA198" s="23"/>
      <c r="AB198" s="23"/>
      <c r="AC198" s="36"/>
      <c r="AD198" s="36"/>
      <c r="AE198" s="23"/>
      <c r="AF198" s="23"/>
      <c r="AG198" s="23"/>
      <c r="AH198" s="23"/>
      <c r="AI198" s="23"/>
      <c r="AJ198" s="36"/>
      <c r="AK198" s="23"/>
    </row>
    <row r="199" spans="1:37" ht="33" hidden="1" x14ac:dyDescent="0.3">
      <c r="B199" s="23" t="s">
        <v>651</v>
      </c>
      <c r="C199" s="34"/>
      <c r="D199" s="23"/>
      <c r="E199" s="23"/>
      <c r="F199" s="23"/>
      <c r="G199" s="35"/>
      <c r="H199" s="36"/>
      <c r="I199" s="36"/>
      <c r="J199" s="35"/>
      <c r="K199" s="35"/>
      <c r="L199" s="23" t="s">
        <v>652</v>
      </c>
      <c r="M199" s="23" t="s">
        <v>653</v>
      </c>
      <c r="N199" s="37"/>
      <c r="O199" s="27" t="s">
        <v>146</v>
      </c>
      <c r="P199" s="37" t="s">
        <v>52</v>
      </c>
      <c r="Q199" s="23" t="s">
        <v>649</v>
      </c>
      <c r="R199" s="41">
        <v>32448</v>
      </c>
      <c r="S199" s="41">
        <v>33512</v>
      </c>
      <c r="T199" s="39">
        <v>36</v>
      </c>
      <c r="U199" s="40">
        <v>0</v>
      </c>
      <c r="V199" s="40">
        <v>7</v>
      </c>
      <c r="W199" s="40"/>
      <c r="X199" s="23"/>
      <c r="Y199" s="23"/>
      <c r="Z199" s="23"/>
      <c r="AA199" s="23"/>
      <c r="AB199" s="23"/>
      <c r="AC199" s="36"/>
      <c r="AD199" s="36"/>
      <c r="AE199" s="23"/>
      <c r="AF199" s="23"/>
      <c r="AG199" s="23"/>
      <c r="AH199" s="23"/>
      <c r="AI199" s="23"/>
      <c r="AJ199" s="36"/>
      <c r="AK199" s="23"/>
    </row>
    <row r="200" spans="1:37" hidden="1" x14ac:dyDescent="0.3">
      <c r="B200" s="23" t="s">
        <v>636</v>
      </c>
      <c r="C200" s="34"/>
      <c r="D200" s="23"/>
      <c r="E200" s="23"/>
      <c r="F200" s="23"/>
      <c r="G200" s="35"/>
      <c r="H200" s="36"/>
      <c r="I200" s="36"/>
      <c r="J200" s="35"/>
      <c r="K200" s="35"/>
      <c r="L200" s="23" t="s">
        <v>45</v>
      </c>
      <c r="M200" s="23" t="s">
        <v>654</v>
      </c>
      <c r="N200" s="37"/>
      <c r="O200" s="27" t="s">
        <v>655</v>
      </c>
      <c r="P200" s="37" t="s">
        <v>31</v>
      </c>
      <c r="Q200" s="23" t="s">
        <v>649</v>
      </c>
      <c r="R200" s="41">
        <v>31809</v>
      </c>
      <c r="S200" s="41">
        <v>32203</v>
      </c>
      <c r="T200" s="39">
        <v>14</v>
      </c>
      <c r="U200" s="40">
        <v>0</v>
      </c>
      <c r="V200" s="40">
        <v>2</v>
      </c>
      <c r="W200" s="40"/>
      <c r="X200" s="23"/>
      <c r="Y200" s="23"/>
      <c r="Z200" s="23"/>
      <c r="AA200" s="23"/>
      <c r="AB200" s="23"/>
      <c r="AC200" s="36"/>
      <c r="AD200" s="36"/>
      <c r="AE200" s="23"/>
      <c r="AF200" s="23"/>
      <c r="AG200" s="23"/>
      <c r="AH200" s="23"/>
      <c r="AI200" s="23"/>
      <c r="AJ200" s="36"/>
      <c r="AK200" s="23"/>
    </row>
    <row r="201" spans="1:37" hidden="1" x14ac:dyDescent="0.3">
      <c r="B201" s="23" t="s">
        <v>624</v>
      </c>
      <c r="C201" s="34"/>
      <c r="D201" s="23"/>
      <c r="E201" s="23"/>
      <c r="F201" s="23"/>
      <c r="G201" s="35"/>
      <c r="H201" s="36"/>
      <c r="I201" s="36"/>
      <c r="J201" s="35"/>
      <c r="K201" s="35"/>
      <c r="L201" s="23" t="s">
        <v>45</v>
      </c>
      <c r="M201" s="23" t="s">
        <v>656</v>
      </c>
      <c r="N201" s="37"/>
      <c r="O201" s="27" t="s">
        <v>657</v>
      </c>
      <c r="P201" s="37" t="s">
        <v>31</v>
      </c>
      <c r="Q201" s="23" t="s">
        <v>649</v>
      </c>
      <c r="R201" s="41">
        <v>31048</v>
      </c>
      <c r="S201" s="41">
        <v>31717</v>
      </c>
      <c r="T201" s="39">
        <v>23</v>
      </c>
      <c r="U201" s="40">
        <v>0</v>
      </c>
      <c r="V201" s="40">
        <v>9</v>
      </c>
      <c r="W201" s="40"/>
      <c r="X201" s="23"/>
      <c r="Y201" s="23"/>
      <c r="Z201" s="23"/>
      <c r="AA201" s="23"/>
      <c r="AB201" s="23"/>
      <c r="AC201" s="36"/>
      <c r="AD201" s="36"/>
      <c r="AE201" s="23"/>
      <c r="AF201" s="23"/>
      <c r="AG201" s="23"/>
      <c r="AH201" s="23"/>
      <c r="AI201" s="23"/>
      <c r="AJ201" s="36"/>
      <c r="AK201" s="23"/>
    </row>
    <row r="202" spans="1:37" ht="33" hidden="1" x14ac:dyDescent="0.3">
      <c r="B202" s="23" t="s">
        <v>624</v>
      </c>
      <c r="C202" s="34"/>
      <c r="D202" s="23"/>
      <c r="E202" s="23"/>
      <c r="F202" s="23"/>
      <c r="G202" s="35"/>
      <c r="H202" s="36"/>
      <c r="I202" s="36"/>
      <c r="J202" s="35"/>
      <c r="K202" s="35"/>
      <c r="L202" s="23" t="s">
        <v>45</v>
      </c>
      <c r="M202" s="23" t="s">
        <v>658</v>
      </c>
      <c r="N202" s="37"/>
      <c r="O202" s="27" t="s">
        <v>633</v>
      </c>
      <c r="P202" s="37" t="s">
        <v>52</v>
      </c>
      <c r="Q202" s="23" t="s">
        <v>649</v>
      </c>
      <c r="R202" s="41">
        <v>30317</v>
      </c>
      <c r="S202" s="41">
        <v>30742</v>
      </c>
      <c r="T202" s="39">
        <v>15</v>
      </c>
      <c r="U202" s="40">
        <v>0</v>
      </c>
      <c r="V202" s="40">
        <v>3</v>
      </c>
      <c r="W202" s="40"/>
      <c r="X202" s="23"/>
      <c r="Y202" s="23"/>
      <c r="Z202" s="23"/>
      <c r="AA202" s="23"/>
      <c r="AB202" s="23"/>
      <c r="AC202" s="36"/>
      <c r="AD202" s="36"/>
      <c r="AE202" s="23"/>
      <c r="AF202" s="23"/>
      <c r="AG202" s="23"/>
      <c r="AH202" s="23"/>
      <c r="AI202" s="23"/>
      <c r="AJ202" s="36"/>
      <c r="AK202" s="23"/>
    </row>
    <row r="203" spans="1:37" ht="33" hidden="1" x14ac:dyDescent="0.3">
      <c r="B203" s="23" t="s">
        <v>624</v>
      </c>
      <c r="C203" s="34"/>
      <c r="D203" s="23"/>
      <c r="E203" s="23"/>
      <c r="F203" s="23"/>
      <c r="G203" s="35"/>
      <c r="H203" s="36"/>
      <c r="I203" s="36"/>
      <c r="J203" s="35"/>
      <c r="K203" s="35"/>
      <c r="L203" s="23" t="s">
        <v>37</v>
      </c>
      <c r="M203" s="23" t="s">
        <v>659</v>
      </c>
      <c r="N203" s="37"/>
      <c r="O203" s="27" t="s">
        <v>146</v>
      </c>
      <c r="P203" s="37" t="s">
        <v>31</v>
      </c>
      <c r="Q203" s="23" t="s">
        <v>660</v>
      </c>
      <c r="R203" s="41">
        <v>29707</v>
      </c>
      <c r="S203" s="41">
        <v>30195</v>
      </c>
      <c r="T203" s="39">
        <v>17</v>
      </c>
      <c r="U203" s="40">
        <v>0</v>
      </c>
      <c r="V203" s="40">
        <v>23</v>
      </c>
      <c r="W203" s="40"/>
      <c r="X203" s="23"/>
      <c r="Y203" s="23"/>
      <c r="Z203" s="23"/>
      <c r="AA203" s="23"/>
      <c r="AB203" s="23"/>
      <c r="AC203" s="36"/>
      <c r="AD203" s="36"/>
      <c r="AE203" s="23"/>
      <c r="AF203" s="23"/>
      <c r="AG203" s="23"/>
      <c r="AH203" s="23"/>
      <c r="AI203" s="23"/>
      <c r="AJ203" s="36"/>
      <c r="AK203" s="23"/>
    </row>
    <row r="204" spans="1:37" ht="33" hidden="1" x14ac:dyDescent="0.3">
      <c r="B204" s="23" t="s">
        <v>624</v>
      </c>
      <c r="C204" s="34"/>
      <c r="D204" s="23"/>
      <c r="E204" s="23"/>
      <c r="F204" s="23"/>
      <c r="G204" s="35"/>
      <c r="H204" s="36"/>
      <c r="I204" s="36"/>
      <c r="J204" s="35"/>
      <c r="K204" s="35"/>
      <c r="L204" s="23" t="s">
        <v>48</v>
      </c>
      <c r="M204" s="23" t="s">
        <v>661</v>
      </c>
      <c r="N204" s="37"/>
      <c r="O204" s="27" t="s">
        <v>146</v>
      </c>
      <c r="P204" s="37" t="s">
        <v>31</v>
      </c>
      <c r="Q204" s="23" t="s">
        <v>660</v>
      </c>
      <c r="R204" s="41">
        <v>28216</v>
      </c>
      <c r="S204" s="41">
        <v>28976</v>
      </c>
      <c r="T204" s="39">
        <v>26</v>
      </c>
      <c r="U204" s="40">
        <v>0</v>
      </c>
      <c r="V204" s="40">
        <v>0</v>
      </c>
      <c r="W204" s="40"/>
      <c r="X204" s="23"/>
      <c r="Y204" s="23"/>
      <c r="Z204" s="23"/>
      <c r="AA204" s="23"/>
      <c r="AB204" s="23"/>
      <c r="AC204" s="36"/>
      <c r="AD204" s="36"/>
      <c r="AE204" s="23"/>
      <c r="AF204" s="23"/>
      <c r="AG204" s="23"/>
      <c r="AH204" s="23"/>
      <c r="AI204" s="23"/>
      <c r="AJ204" s="36"/>
      <c r="AK204" s="23"/>
    </row>
    <row r="205" spans="1:37" hidden="1" x14ac:dyDescent="0.3">
      <c r="B205" s="23"/>
      <c r="C205" s="34"/>
      <c r="D205" s="23"/>
      <c r="E205" s="23"/>
      <c r="F205" s="23"/>
      <c r="G205" s="35"/>
      <c r="H205" s="36"/>
      <c r="I205" s="36"/>
      <c r="J205" s="35"/>
      <c r="K205" s="35"/>
      <c r="L205" s="23"/>
      <c r="M205" s="23"/>
      <c r="N205" s="37"/>
      <c r="O205" s="27"/>
      <c r="P205" s="37"/>
      <c r="Q205" s="23"/>
      <c r="R205" s="41"/>
      <c r="S205" s="41"/>
      <c r="T205" s="39"/>
      <c r="U205" s="40"/>
      <c r="V205" s="40"/>
      <c r="W205" s="40"/>
      <c r="X205" s="23"/>
      <c r="Y205" s="23"/>
      <c r="Z205" s="23"/>
      <c r="AA205" s="23"/>
      <c r="AB205" s="23"/>
      <c r="AC205" s="36"/>
      <c r="AD205" s="36"/>
      <c r="AE205" s="23"/>
      <c r="AF205" s="23"/>
      <c r="AG205" s="23"/>
      <c r="AH205" s="23"/>
      <c r="AI205" s="23"/>
      <c r="AJ205" s="36"/>
      <c r="AK205" s="23"/>
    </row>
    <row r="206" spans="1:37" ht="33" x14ac:dyDescent="0.3">
      <c r="A206">
        <v>13</v>
      </c>
      <c r="B206" s="23" t="s">
        <v>662</v>
      </c>
      <c r="C206" s="34">
        <v>20166</v>
      </c>
      <c r="D206" s="23" t="s">
        <v>663</v>
      </c>
      <c r="E206" s="23" t="s">
        <v>664</v>
      </c>
      <c r="F206" s="23" t="s">
        <v>665</v>
      </c>
      <c r="G206" s="35">
        <v>44683</v>
      </c>
      <c r="H206" s="43">
        <v>0.66666666666666663</v>
      </c>
      <c r="I206" s="36" t="s">
        <v>666</v>
      </c>
      <c r="J206" s="35">
        <v>44641</v>
      </c>
      <c r="K206" s="35" t="s">
        <v>855</v>
      </c>
      <c r="L206" s="24" t="s">
        <v>28</v>
      </c>
      <c r="M206" s="24" t="s">
        <v>29</v>
      </c>
      <c r="N206" s="25" t="s">
        <v>667</v>
      </c>
      <c r="O206" s="24" t="s">
        <v>53</v>
      </c>
      <c r="P206" s="23" t="s">
        <v>31</v>
      </c>
      <c r="Q206" s="23" t="s">
        <v>668</v>
      </c>
      <c r="R206" s="31">
        <v>43525</v>
      </c>
      <c r="S206" s="31">
        <v>44197</v>
      </c>
      <c r="T206" s="39">
        <v>23</v>
      </c>
      <c r="U206" s="40">
        <v>1</v>
      </c>
      <c r="V206" s="40">
        <v>0</v>
      </c>
      <c r="W206" s="40"/>
      <c r="X206" s="23">
        <v>4</v>
      </c>
      <c r="Y206" s="23">
        <v>4</v>
      </c>
      <c r="Z206" s="23"/>
      <c r="AA206" s="23" t="s">
        <v>669</v>
      </c>
      <c r="AB206" s="23" t="s">
        <v>670</v>
      </c>
      <c r="AC206" s="36">
        <v>35.58</v>
      </c>
      <c r="AD206" s="36">
        <v>7.42</v>
      </c>
      <c r="AE206" s="23">
        <v>4</v>
      </c>
      <c r="AF206" s="23">
        <v>0</v>
      </c>
      <c r="AG206" s="23">
        <v>11</v>
      </c>
      <c r="AH206" s="23">
        <v>0</v>
      </c>
      <c r="AI206" s="23">
        <v>23.17</v>
      </c>
      <c r="AJ206" s="36">
        <v>25.75</v>
      </c>
      <c r="AK206" s="23">
        <v>13</v>
      </c>
    </row>
    <row r="207" spans="1:37" ht="66" hidden="1" x14ac:dyDescent="0.3">
      <c r="B207" s="23" t="s">
        <v>24</v>
      </c>
      <c r="C207" s="34"/>
      <c r="D207" s="23"/>
      <c r="E207" s="23"/>
      <c r="F207" s="23"/>
      <c r="G207" s="35"/>
      <c r="H207" s="36"/>
      <c r="I207" s="36"/>
      <c r="J207" s="35"/>
      <c r="K207" s="35"/>
      <c r="L207" s="27" t="s">
        <v>671</v>
      </c>
      <c r="M207" s="27" t="s">
        <v>672</v>
      </c>
      <c r="N207" s="24" t="s">
        <v>33</v>
      </c>
      <c r="O207" s="24" t="s">
        <v>673</v>
      </c>
      <c r="P207" s="23" t="s">
        <v>674</v>
      </c>
      <c r="Q207" s="23" t="s">
        <v>668</v>
      </c>
      <c r="R207" s="31">
        <v>43040</v>
      </c>
      <c r="S207" s="31">
        <v>43525</v>
      </c>
      <c r="T207" s="39">
        <v>17</v>
      </c>
      <c r="U207" s="40">
        <v>0</v>
      </c>
      <c r="V207" s="40">
        <v>4</v>
      </c>
      <c r="W207" s="40"/>
      <c r="X207" s="23"/>
      <c r="Y207" s="23"/>
      <c r="Z207" s="23"/>
      <c r="AA207" s="23"/>
      <c r="AB207" s="23"/>
      <c r="AC207" s="36"/>
      <c r="AD207" s="36"/>
      <c r="AE207" s="23"/>
      <c r="AF207" s="23"/>
      <c r="AG207" s="23"/>
      <c r="AH207" s="23"/>
      <c r="AI207" s="23"/>
      <c r="AJ207" s="36"/>
      <c r="AK207" s="23"/>
    </row>
    <row r="208" spans="1:37" ht="33" hidden="1" x14ac:dyDescent="0.3">
      <c r="B208" s="23" t="s">
        <v>662</v>
      </c>
      <c r="C208" s="34"/>
      <c r="D208" s="23"/>
      <c r="E208" s="23"/>
      <c r="F208" s="23"/>
      <c r="G208" s="35"/>
      <c r="H208" s="36"/>
      <c r="I208" s="36"/>
      <c r="J208" s="35"/>
      <c r="K208" s="35"/>
      <c r="L208" s="27" t="s">
        <v>34</v>
      </c>
      <c r="M208" s="27" t="s">
        <v>675</v>
      </c>
      <c r="N208" s="24"/>
      <c r="O208" s="24" t="s">
        <v>676</v>
      </c>
      <c r="P208" s="23"/>
      <c r="Q208" s="23" t="s">
        <v>677</v>
      </c>
      <c r="R208" s="31">
        <v>42064</v>
      </c>
      <c r="S208" s="31">
        <v>42887</v>
      </c>
      <c r="T208" s="39">
        <v>28</v>
      </c>
      <c r="U208" s="40">
        <v>0</v>
      </c>
      <c r="V208" s="40">
        <v>8</v>
      </c>
      <c r="W208" s="40"/>
      <c r="X208" s="23"/>
      <c r="Y208" s="23"/>
      <c r="Z208" s="23"/>
      <c r="AA208" s="23"/>
      <c r="AB208" s="23"/>
      <c r="AC208" s="36"/>
      <c r="AD208" s="36"/>
      <c r="AE208" s="23"/>
      <c r="AF208" s="23"/>
      <c r="AG208" s="23"/>
      <c r="AH208" s="23"/>
      <c r="AI208" s="23"/>
      <c r="AJ208" s="36"/>
      <c r="AK208" s="23"/>
    </row>
    <row r="209" spans="1:37" ht="33" hidden="1" x14ac:dyDescent="0.3">
      <c r="B209" s="23" t="s">
        <v>662</v>
      </c>
      <c r="C209" s="34"/>
      <c r="D209" s="23"/>
      <c r="E209" s="23"/>
      <c r="F209" s="23"/>
      <c r="G209" s="35"/>
      <c r="H209" s="36"/>
      <c r="I209" s="36"/>
      <c r="J209" s="35"/>
      <c r="K209" s="35"/>
      <c r="L209" s="27" t="s">
        <v>678</v>
      </c>
      <c r="M209" s="27" t="s">
        <v>679</v>
      </c>
      <c r="N209" s="24"/>
      <c r="O209" s="24" t="s">
        <v>30</v>
      </c>
      <c r="P209" s="23"/>
      <c r="Q209" s="23" t="s">
        <v>680</v>
      </c>
      <c r="R209" s="31">
        <v>40422</v>
      </c>
      <c r="S209" s="31">
        <v>41791</v>
      </c>
      <c r="T209" s="39">
        <v>46</v>
      </c>
      <c r="U209" s="40">
        <v>0</v>
      </c>
      <c r="V209" s="40">
        <v>5</v>
      </c>
      <c r="W209" s="40"/>
      <c r="X209" s="23"/>
      <c r="Y209" s="23"/>
      <c r="Z209" s="23"/>
      <c r="AA209" s="23"/>
      <c r="AB209" s="23"/>
      <c r="AC209" s="36"/>
      <c r="AD209" s="36"/>
      <c r="AE209" s="23"/>
      <c r="AF209" s="23"/>
      <c r="AG209" s="23"/>
      <c r="AH209" s="23"/>
      <c r="AI209" s="23"/>
      <c r="AJ209" s="36"/>
      <c r="AK209" s="23"/>
    </row>
    <row r="210" spans="1:37" hidden="1" x14ac:dyDescent="0.3">
      <c r="B210" s="23" t="s">
        <v>662</v>
      </c>
      <c r="C210" s="34"/>
      <c r="D210" s="23"/>
      <c r="E210" s="23"/>
      <c r="F210" s="23"/>
      <c r="G210" s="35"/>
      <c r="H210" s="36"/>
      <c r="I210" s="36"/>
      <c r="J210" s="35"/>
      <c r="K210" s="35"/>
      <c r="L210" s="24" t="s">
        <v>652</v>
      </c>
      <c r="M210" s="24" t="s">
        <v>681</v>
      </c>
      <c r="N210" s="44"/>
      <c r="O210" s="24" t="s">
        <v>35</v>
      </c>
      <c r="P210" s="23" t="s">
        <v>31</v>
      </c>
      <c r="Q210" s="23" t="s">
        <v>36</v>
      </c>
      <c r="R210" s="31">
        <v>40179</v>
      </c>
      <c r="S210" s="31">
        <v>40238</v>
      </c>
      <c r="T210" s="39">
        <v>3</v>
      </c>
      <c r="U210" s="40">
        <v>1</v>
      </c>
      <c r="V210" s="40">
        <v>0</v>
      </c>
      <c r="W210" s="40"/>
      <c r="X210" s="23"/>
      <c r="Y210" s="23"/>
      <c r="Z210" s="23"/>
      <c r="AA210" s="23"/>
      <c r="AB210" s="23"/>
      <c r="AC210" s="36"/>
      <c r="AD210" s="36"/>
      <c r="AE210" s="23"/>
      <c r="AF210" s="23"/>
      <c r="AG210" s="23"/>
      <c r="AH210" s="23"/>
      <c r="AI210" s="23"/>
      <c r="AJ210" s="36"/>
      <c r="AK210" s="23"/>
    </row>
    <row r="211" spans="1:37" ht="33" hidden="1" x14ac:dyDescent="0.3">
      <c r="B211" s="23" t="s">
        <v>24</v>
      </c>
      <c r="C211" s="34"/>
      <c r="D211" s="23"/>
      <c r="E211" s="23"/>
      <c r="F211" s="23"/>
      <c r="G211" s="35"/>
      <c r="H211" s="36"/>
      <c r="I211" s="36"/>
      <c r="J211" s="35"/>
      <c r="K211" s="35"/>
      <c r="L211" s="24" t="s">
        <v>37</v>
      </c>
      <c r="M211" s="24" t="s">
        <v>682</v>
      </c>
      <c r="N211" s="25"/>
      <c r="O211" s="27" t="s">
        <v>30</v>
      </c>
      <c r="P211" s="23"/>
      <c r="Q211" s="23" t="s">
        <v>38</v>
      </c>
      <c r="R211" s="31">
        <v>39814</v>
      </c>
      <c r="S211" s="31">
        <v>40179</v>
      </c>
      <c r="T211" s="39">
        <v>13</v>
      </c>
      <c r="U211" s="40">
        <v>0</v>
      </c>
      <c r="V211" s="40">
        <v>0</v>
      </c>
      <c r="W211" s="40"/>
      <c r="X211" s="23"/>
      <c r="Y211" s="23"/>
      <c r="Z211" s="23"/>
      <c r="AA211" s="23"/>
      <c r="AB211" s="23"/>
      <c r="AC211" s="36"/>
      <c r="AD211" s="36"/>
      <c r="AE211" s="23"/>
      <c r="AF211" s="23"/>
      <c r="AG211" s="23"/>
      <c r="AH211" s="23"/>
      <c r="AI211" s="23"/>
      <c r="AJ211" s="36"/>
      <c r="AK211" s="23"/>
    </row>
    <row r="212" spans="1:37" ht="33" hidden="1" x14ac:dyDescent="0.3">
      <c r="B212" s="23" t="s">
        <v>662</v>
      </c>
      <c r="C212" s="34"/>
      <c r="D212" s="23"/>
      <c r="E212" s="23"/>
      <c r="F212" s="23"/>
      <c r="G212" s="35"/>
      <c r="H212" s="36"/>
      <c r="I212" s="36"/>
      <c r="J212" s="35"/>
      <c r="K212" s="35"/>
      <c r="L212" s="27" t="s">
        <v>39</v>
      </c>
      <c r="M212" s="27" t="s">
        <v>40</v>
      </c>
      <c r="N212" s="24"/>
      <c r="O212" s="27" t="s">
        <v>673</v>
      </c>
      <c r="P212" s="23"/>
      <c r="Q212" s="23" t="s">
        <v>41</v>
      </c>
      <c r="R212" s="31">
        <v>39600</v>
      </c>
      <c r="S212" s="31">
        <v>39783</v>
      </c>
      <c r="T212" s="39">
        <v>7</v>
      </c>
      <c r="U212" s="40">
        <v>0</v>
      </c>
      <c r="V212" s="40">
        <v>0</v>
      </c>
      <c r="W212" s="40"/>
      <c r="X212" s="23"/>
      <c r="Y212" s="23"/>
      <c r="Z212" s="23"/>
      <c r="AA212" s="23"/>
      <c r="AB212" s="23"/>
      <c r="AC212" s="36"/>
      <c r="AD212" s="36"/>
      <c r="AE212" s="23"/>
      <c r="AF212" s="23"/>
      <c r="AG212" s="23"/>
      <c r="AH212" s="23"/>
      <c r="AI212" s="23"/>
      <c r="AJ212" s="36"/>
      <c r="AK212" s="23"/>
    </row>
    <row r="213" spans="1:37" ht="33" hidden="1" x14ac:dyDescent="0.3">
      <c r="B213" s="23" t="s">
        <v>662</v>
      </c>
      <c r="C213" s="34"/>
      <c r="D213" s="23"/>
      <c r="E213" s="23"/>
      <c r="F213" s="23"/>
      <c r="G213" s="35"/>
      <c r="H213" s="36"/>
      <c r="I213" s="36"/>
      <c r="J213" s="35"/>
      <c r="K213" s="35"/>
      <c r="L213" s="27" t="s">
        <v>42</v>
      </c>
      <c r="M213" s="27" t="s">
        <v>43</v>
      </c>
      <c r="N213" s="24" t="s">
        <v>683</v>
      </c>
      <c r="O213" s="24" t="s">
        <v>30</v>
      </c>
      <c r="P213" s="23"/>
      <c r="Q213" s="23" t="s">
        <v>41</v>
      </c>
      <c r="R213" s="31">
        <v>39234</v>
      </c>
      <c r="S213" s="31">
        <v>39569</v>
      </c>
      <c r="T213" s="39">
        <v>12</v>
      </c>
      <c r="U213" s="40">
        <v>0</v>
      </c>
      <c r="V213" s="40">
        <v>3</v>
      </c>
      <c r="W213" s="40"/>
      <c r="X213" s="23"/>
      <c r="Y213" s="23"/>
      <c r="Z213" s="23"/>
      <c r="AA213" s="23"/>
      <c r="AB213" s="23"/>
      <c r="AC213" s="36"/>
      <c r="AD213" s="36"/>
      <c r="AE213" s="23"/>
      <c r="AF213" s="23"/>
      <c r="AG213" s="23"/>
      <c r="AH213" s="23"/>
      <c r="AI213" s="23"/>
      <c r="AJ213" s="36"/>
      <c r="AK213" s="23"/>
    </row>
    <row r="214" spans="1:37" ht="33" hidden="1" x14ac:dyDescent="0.3">
      <c r="B214" s="23" t="s">
        <v>662</v>
      </c>
      <c r="C214" s="34"/>
      <c r="D214" s="23"/>
      <c r="E214" s="23"/>
      <c r="F214" s="23"/>
      <c r="G214" s="35"/>
      <c r="H214" s="36"/>
      <c r="I214" s="36"/>
      <c r="J214" s="35"/>
      <c r="K214" s="35"/>
      <c r="L214" s="25" t="s">
        <v>684</v>
      </c>
      <c r="M214" s="24" t="s">
        <v>685</v>
      </c>
      <c r="N214" s="44"/>
      <c r="O214" s="24" t="s">
        <v>30</v>
      </c>
      <c r="P214" s="23"/>
      <c r="Q214" s="23" t="s">
        <v>41</v>
      </c>
      <c r="R214" s="31">
        <v>38384</v>
      </c>
      <c r="S214" s="31">
        <v>39114</v>
      </c>
      <c r="T214" s="39">
        <v>25</v>
      </c>
      <c r="U214" s="40">
        <v>0</v>
      </c>
      <c r="V214" s="40">
        <v>1</v>
      </c>
      <c r="W214" s="40"/>
      <c r="X214" s="23"/>
      <c r="Y214" s="23"/>
      <c r="Z214" s="23"/>
      <c r="AA214" s="23"/>
      <c r="AB214" s="23"/>
      <c r="AC214" s="36"/>
      <c r="AD214" s="36"/>
      <c r="AE214" s="23"/>
      <c r="AF214" s="23"/>
      <c r="AG214" s="23"/>
      <c r="AH214" s="23"/>
      <c r="AI214" s="23"/>
      <c r="AJ214" s="36"/>
      <c r="AK214" s="23"/>
    </row>
    <row r="215" spans="1:37" ht="49.5" hidden="1" x14ac:dyDescent="0.3">
      <c r="B215" s="23" t="s">
        <v>662</v>
      </c>
      <c r="C215" s="34"/>
      <c r="D215" s="23"/>
      <c r="E215" s="23"/>
      <c r="F215" s="23"/>
      <c r="G215" s="35"/>
      <c r="H215" s="36"/>
      <c r="I215" s="36"/>
      <c r="J215" s="35"/>
      <c r="K215" s="35"/>
      <c r="L215" s="27" t="s">
        <v>32</v>
      </c>
      <c r="M215" s="27" t="s">
        <v>686</v>
      </c>
      <c r="N215" s="24" t="s">
        <v>33</v>
      </c>
      <c r="O215" s="24" t="s">
        <v>44</v>
      </c>
      <c r="P215" s="23"/>
      <c r="Q215" s="31" t="s">
        <v>41</v>
      </c>
      <c r="R215" s="31">
        <v>37012</v>
      </c>
      <c r="S215" s="31">
        <v>38322</v>
      </c>
      <c r="T215" s="39">
        <v>44</v>
      </c>
      <c r="U215" s="40">
        <v>0</v>
      </c>
      <c r="V215" s="40">
        <v>10</v>
      </c>
      <c r="W215" s="40"/>
      <c r="X215" s="23"/>
      <c r="Y215" s="23"/>
      <c r="Z215" s="23"/>
      <c r="AA215" s="23"/>
      <c r="AB215" s="23"/>
      <c r="AC215" s="36"/>
      <c r="AD215" s="36"/>
      <c r="AE215" s="23"/>
      <c r="AF215" s="23"/>
      <c r="AG215" s="23"/>
      <c r="AH215" s="23"/>
      <c r="AI215" s="23"/>
      <c r="AJ215" s="36"/>
      <c r="AK215" s="23"/>
    </row>
    <row r="216" spans="1:37" ht="49.5" hidden="1" x14ac:dyDescent="0.3">
      <c r="B216" s="23" t="s">
        <v>662</v>
      </c>
      <c r="C216" s="34"/>
      <c r="D216" s="23"/>
      <c r="E216" s="23"/>
      <c r="F216" s="23"/>
      <c r="G216" s="35"/>
      <c r="H216" s="36"/>
      <c r="I216" s="36"/>
      <c r="J216" s="35"/>
      <c r="K216" s="35"/>
      <c r="L216" s="27" t="s">
        <v>45</v>
      </c>
      <c r="M216" s="27" t="s">
        <v>687</v>
      </c>
      <c r="N216" s="24"/>
      <c r="O216" s="24"/>
      <c r="P216" s="23"/>
      <c r="Q216" s="23" t="s">
        <v>46</v>
      </c>
      <c r="R216" s="31">
        <v>35217</v>
      </c>
      <c r="S216" s="31">
        <v>36678</v>
      </c>
      <c r="T216" s="39">
        <v>49</v>
      </c>
      <c r="U216" s="40">
        <v>0</v>
      </c>
      <c r="V216" s="40">
        <v>0</v>
      </c>
      <c r="W216" s="40"/>
      <c r="X216" s="23"/>
      <c r="Y216" s="23"/>
      <c r="Z216" s="23"/>
      <c r="AA216" s="23"/>
      <c r="AB216" s="23"/>
      <c r="AC216" s="36"/>
      <c r="AD216" s="36"/>
      <c r="AE216" s="23"/>
      <c r="AF216" s="23"/>
      <c r="AG216" s="23"/>
      <c r="AH216" s="23"/>
      <c r="AI216" s="23"/>
      <c r="AJ216" s="36"/>
      <c r="AK216" s="23"/>
    </row>
    <row r="217" spans="1:37" ht="33" hidden="1" x14ac:dyDescent="0.3">
      <c r="B217" s="23" t="s">
        <v>24</v>
      </c>
      <c r="C217" s="34"/>
      <c r="D217" s="23"/>
      <c r="E217" s="23"/>
      <c r="F217" s="23"/>
      <c r="G217" s="35"/>
      <c r="H217" s="36"/>
      <c r="I217" s="36"/>
      <c r="J217" s="35"/>
      <c r="K217" s="35"/>
      <c r="L217" s="24" t="s">
        <v>640</v>
      </c>
      <c r="M217" s="24" t="s">
        <v>688</v>
      </c>
      <c r="N217" s="25"/>
      <c r="O217" s="24" t="s">
        <v>53</v>
      </c>
      <c r="P217" s="23" t="s">
        <v>31</v>
      </c>
      <c r="Q217" s="23" t="s">
        <v>46</v>
      </c>
      <c r="R217" s="31">
        <v>34486</v>
      </c>
      <c r="S217" s="31">
        <v>35186</v>
      </c>
      <c r="T217" s="39">
        <v>24</v>
      </c>
      <c r="U217" s="40">
        <v>0</v>
      </c>
      <c r="V217" s="40">
        <v>0</v>
      </c>
      <c r="W217" s="40"/>
      <c r="X217" s="23"/>
      <c r="Y217" s="23"/>
      <c r="Z217" s="23"/>
      <c r="AA217" s="23"/>
      <c r="AB217" s="23"/>
      <c r="AC217" s="36"/>
      <c r="AD217" s="36"/>
      <c r="AE217" s="23"/>
      <c r="AF217" s="23"/>
      <c r="AG217" s="23"/>
      <c r="AH217" s="23"/>
      <c r="AI217" s="23"/>
      <c r="AJ217" s="36"/>
      <c r="AK217" s="23"/>
    </row>
    <row r="218" spans="1:37" ht="49.5" hidden="1" x14ac:dyDescent="0.3">
      <c r="B218" s="23" t="s">
        <v>662</v>
      </c>
      <c r="C218" s="34"/>
      <c r="D218" s="23"/>
      <c r="E218" s="23"/>
      <c r="F218" s="23"/>
      <c r="G218" s="35"/>
      <c r="H218" s="36"/>
      <c r="I218" s="36"/>
      <c r="J218" s="35"/>
      <c r="K218" s="35"/>
      <c r="L218" s="27" t="s">
        <v>640</v>
      </c>
      <c r="M218" s="27" t="s">
        <v>689</v>
      </c>
      <c r="N218" s="24"/>
      <c r="O218" s="27"/>
      <c r="P218" s="23" t="s">
        <v>31</v>
      </c>
      <c r="Q218" s="23" t="s">
        <v>690</v>
      </c>
      <c r="R218" s="31">
        <v>34213</v>
      </c>
      <c r="S218" s="31">
        <v>34455</v>
      </c>
      <c r="T218" s="39">
        <v>9</v>
      </c>
      <c r="U218" s="40">
        <v>0</v>
      </c>
      <c r="V218" s="40">
        <v>0</v>
      </c>
      <c r="W218" s="40"/>
      <c r="X218" s="23"/>
      <c r="Y218" s="23"/>
      <c r="Z218" s="23"/>
      <c r="AA218" s="23"/>
      <c r="AB218" s="23"/>
      <c r="AC218" s="36"/>
      <c r="AD218" s="36"/>
      <c r="AE218" s="23"/>
      <c r="AF218" s="23"/>
      <c r="AG218" s="23"/>
      <c r="AH218" s="23"/>
      <c r="AI218" s="23"/>
      <c r="AJ218" s="36"/>
      <c r="AK218" s="23"/>
    </row>
    <row r="219" spans="1:37" ht="49.5" hidden="1" x14ac:dyDescent="0.3">
      <c r="B219" s="23" t="s">
        <v>662</v>
      </c>
      <c r="C219" s="34"/>
      <c r="D219" s="23"/>
      <c r="E219" s="23"/>
      <c r="F219" s="23"/>
      <c r="G219" s="35"/>
      <c r="H219" s="36"/>
      <c r="I219" s="36"/>
      <c r="J219" s="35"/>
      <c r="K219" s="35"/>
      <c r="L219" s="27" t="s">
        <v>45</v>
      </c>
      <c r="M219" s="27" t="s">
        <v>691</v>
      </c>
      <c r="N219" s="24"/>
      <c r="O219" s="27"/>
      <c r="P219" s="23" t="s">
        <v>31</v>
      </c>
      <c r="Q219" s="23" t="s">
        <v>690</v>
      </c>
      <c r="R219" s="31">
        <v>33117</v>
      </c>
      <c r="S219" s="31">
        <v>34182</v>
      </c>
      <c r="T219" s="39">
        <v>36</v>
      </c>
      <c r="U219" s="40">
        <v>0</v>
      </c>
      <c r="V219" s="40">
        <v>53</v>
      </c>
      <c r="W219" s="40"/>
      <c r="X219" s="23"/>
      <c r="Y219" s="23"/>
      <c r="Z219" s="23"/>
      <c r="AA219" s="23"/>
      <c r="AB219" s="23"/>
      <c r="AC219" s="36"/>
      <c r="AD219" s="36"/>
      <c r="AE219" s="23"/>
      <c r="AF219" s="23"/>
      <c r="AG219" s="23"/>
      <c r="AH219" s="23"/>
      <c r="AI219" s="23"/>
      <c r="AJ219" s="36"/>
      <c r="AK219" s="23"/>
    </row>
    <row r="220" spans="1:37" ht="33" hidden="1" x14ac:dyDescent="0.3">
      <c r="B220" s="23" t="s">
        <v>24</v>
      </c>
      <c r="C220" s="34"/>
      <c r="D220" s="23"/>
      <c r="E220" s="23"/>
      <c r="F220" s="23"/>
      <c r="G220" s="35"/>
      <c r="H220" s="36"/>
      <c r="I220" s="36"/>
      <c r="J220" s="35"/>
      <c r="K220" s="35"/>
      <c r="L220" s="27" t="s">
        <v>54</v>
      </c>
      <c r="M220" s="27" t="s">
        <v>692</v>
      </c>
      <c r="N220" s="24"/>
      <c r="O220" s="24" t="s">
        <v>673</v>
      </c>
      <c r="P220" s="23"/>
      <c r="Q220" s="23" t="s">
        <v>693</v>
      </c>
      <c r="R220" s="31">
        <v>30195</v>
      </c>
      <c r="S220" s="31">
        <v>31472</v>
      </c>
      <c r="T220" s="39">
        <v>43</v>
      </c>
      <c r="U220" s="40">
        <v>0</v>
      </c>
      <c r="V220" s="40">
        <v>26</v>
      </c>
      <c r="W220" s="40"/>
      <c r="X220" s="23"/>
      <c r="Y220" s="23"/>
      <c r="Z220" s="23"/>
      <c r="AA220" s="23"/>
      <c r="AB220" s="23"/>
      <c r="AC220" s="36"/>
      <c r="AD220" s="36"/>
      <c r="AE220" s="23"/>
      <c r="AF220" s="23"/>
      <c r="AG220" s="23"/>
      <c r="AH220" s="23"/>
      <c r="AI220" s="23"/>
      <c r="AJ220" s="36"/>
      <c r="AK220" s="23"/>
    </row>
    <row r="221" spans="1:37" ht="33" hidden="1" x14ac:dyDescent="0.3">
      <c r="B221" s="23" t="s">
        <v>662</v>
      </c>
      <c r="C221" s="34"/>
      <c r="D221" s="23"/>
      <c r="E221" s="23"/>
      <c r="F221" s="23"/>
      <c r="G221" s="35"/>
      <c r="H221" s="36"/>
      <c r="I221" s="36"/>
      <c r="J221" s="35"/>
      <c r="K221" s="35"/>
      <c r="L221" s="24" t="s">
        <v>48</v>
      </c>
      <c r="M221" s="24" t="s">
        <v>694</v>
      </c>
      <c r="N221" s="44"/>
      <c r="O221" s="24" t="s">
        <v>30</v>
      </c>
      <c r="P221" s="23"/>
      <c r="Q221" s="23" t="s">
        <v>693</v>
      </c>
      <c r="R221" s="31">
        <v>28672</v>
      </c>
      <c r="S221" s="31">
        <v>29373</v>
      </c>
      <c r="T221" s="39">
        <v>24</v>
      </c>
      <c r="U221" s="40">
        <v>0</v>
      </c>
      <c r="V221" s="40">
        <v>5</v>
      </c>
      <c r="W221" s="40"/>
      <c r="X221" s="23"/>
      <c r="Y221" s="23"/>
      <c r="Z221" s="23"/>
      <c r="AA221" s="23"/>
      <c r="AB221" s="23"/>
      <c r="AC221" s="36"/>
      <c r="AD221" s="36"/>
      <c r="AE221" s="23"/>
      <c r="AF221" s="23"/>
      <c r="AG221" s="23"/>
      <c r="AH221" s="23"/>
      <c r="AI221" s="23"/>
      <c r="AJ221" s="36"/>
      <c r="AK221" s="23"/>
    </row>
    <row r="222" spans="1:37" ht="33" hidden="1" x14ac:dyDescent="0.3">
      <c r="B222" s="23" t="s">
        <v>662</v>
      </c>
      <c r="C222" s="34"/>
      <c r="D222" s="23"/>
      <c r="E222" s="23"/>
      <c r="F222" s="23"/>
      <c r="G222" s="35"/>
      <c r="H222" s="36"/>
      <c r="I222" s="36"/>
      <c r="J222" s="35"/>
      <c r="K222" s="35"/>
      <c r="L222" s="24" t="s">
        <v>48</v>
      </c>
      <c r="M222" s="24" t="s">
        <v>695</v>
      </c>
      <c r="N222" s="44"/>
      <c r="O222" s="24"/>
      <c r="P222" s="23"/>
      <c r="Q222" s="23" t="s">
        <v>49</v>
      </c>
      <c r="R222" s="31">
        <v>27791</v>
      </c>
      <c r="S222" s="31">
        <v>28491</v>
      </c>
      <c r="T222" s="39">
        <v>24</v>
      </c>
      <c r="U222" s="40">
        <v>0</v>
      </c>
      <c r="V222" s="40">
        <v>0</v>
      </c>
      <c r="W222" s="40"/>
      <c r="X222" s="23"/>
      <c r="Y222" s="23"/>
      <c r="Z222" s="23"/>
      <c r="AA222" s="23"/>
      <c r="AB222" s="23"/>
      <c r="AC222" s="36"/>
      <c r="AD222" s="36"/>
      <c r="AE222" s="23"/>
      <c r="AF222" s="23"/>
      <c r="AG222" s="23"/>
      <c r="AH222" s="23"/>
      <c r="AI222" s="23"/>
      <c r="AJ222" s="36"/>
      <c r="AK222" s="23"/>
    </row>
    <row r="223" spans="1:37" hidden="1" x14ac:dyDescent="0.3">
      <c r="B223" s="23"/>
      <c r="C223" s="34"/>
      <c r="D223" s="23"/>
      <c r="E223" s="23"/>
      <c r="F223" s="23"/>
      <c r="G223" s="35"/>
      <c r="H223" s="36"/>
      <c r="I223" s="36"/>
      <c r="J223" s="35"/>
      <c r="K223" s="35"/>
      <c r="L223" s="24"/>
      <c r="M223" s="24"/>
      <c r="N223" s="44"/>
      <c r="O223" s="24"/>
      <c r="P223" s="23"/>
      <c r="Q223" s="23"/>
      <c r="R223" s="31"/>
      <c r="S223" s="31"/>
      <c r="T223" s="39"/>
      <c r="U223" s="40"/>
      <c r="V223" s="40"/>
      <c r="W223" s="40"/>
      <c r="X223" s="23"/>
      <c r="Y223" s="23"/>
      <c r="Z223" s="23"/>
      <c r="AA223" s="23"/>
      <c r="AB223" s="23"/>
      <c r="AC223" s="36"/>
      <c r="AD223" s="36"/>
      <c r="AE223" s="23"/>
      <c r="AF223" s="23"/>
      <c r="AG223" s="23"/>
      <c r="AH223" s="23"/>
      <c r="AI223" s="23"/>
      <c r="AJ223" s="36"/>
      <c r="AK223" s="23"/>
    </row>
    <row r="224" spans="1:37" ht="49.5" x14ac:dyDescent="0.3">
      <c r="A224">
        <v>14</v>
      </c>
      <c r="B224" s="23" t="s">
        <v>696</v>
      </c>
      <c r="C224" s="34">
        <v>21094</v>
      </c>
      <c r="D224" s="23" t="s">
        <v>663</v>
      </c>
      <c r="E224" s="23" t="s">
        <v>697</v>
      </c>
      <c r="F224" s="23" t="s">
        <v>665</v>
      </c>
      <c r="G224" s="35">
        <v>44682</v>
      </c>
      <c r="H224" s="43">
        <v>0.66666666666666663</v>
      </c>
      <c r="I224" s="36" t="s">
        <v>666</v>
      </c>
      <c r="J224" s="35">
        <v>44650</v>
      </c>
      <c r="K224" s="35" t="s">
        <v>855</v>
      </c>
      <c r="L224" s="24" t="s">
        <v>45</v>
      </c>
      <c r="M224" s="24" t="s">
        <v>197</v>
      </c>
      <c r="N224" s="25"/>
      <c r="O224" s="24" t="s">
        <v>30</v>
      </c>
      <c r="P224" s="23" t="s">
        <v>186</v>
      </c>
      <c r="Q224" s="23" t="s">
        <v>198</v>
      </c>
      <c r="R224" s="31">
        <v>43466</v>
      </c>
      <c r="S224" s="31">
        <v>43800</v>
      </c>
      <c r="T224" s="39">
        <v>12</v>
      </c>
      <c r="U224" s="40">
        <v>0</v>
      </c>
      <c r="V224" s="40">
        <v>2</v>
      </c>
      <c r="W224" s="40"/>
      <c r="X224" s="23">
        <v>4</v>
      </c>
      <c r="Y224" s="23">
        <v>5</v>
      </c>
      <c r="Z224" s="23"/>
      <c r="AA224" s="23" t="s">
        <v>58</v>
      </c>
      <c r="AB224" s="23" t="s">
        <v>670</v>
      </c>
      <c r="AC224" s="36">
        <v>35.33</v>
      </c>
      <c r="AD224" s="36">
        <v>2.25</v>
      </c>
      <c r="AE224" s="23">
        <v>2</v>
      </c>
      <c r="AF224" s="23">
        <v>0</v>
      </c>
      <c r="AG224" s="23">
        <v>16</v>
      </c>
      <c r="AH224" s="23">
        <v>0</v>
      </c>
      <c r="AI224" s="23">
        <v>18.25</v>
      </c>
      <c r="AJ224" s="36">
        <v>5.25</v>
      </c>
      <c r="AK224" s="23">
        <v>7</v>
      </c>
    </row>
    <row r="225" spans="2:37" ht="33" hidden="1" x14ac:dyDescent="0.3">
      <c r="B225" s="23" t="s">
        <v>698</v>
      </c>
      <c r="C225" s="34"/>
      <c r="D225" s="23"/>
      <c r="E225" s="23"/>
      <c r="F225" s="23"/>
      <c r="G225" s="35"/>
      <c r="H225" s="36"/>
      <c r="I225" s="36"/>
      <c r="J225" s="35"/>
      <c r="K225" s="35"/>
      <c r="L225" s="27" t="s">
        <v>640</v>
      </c>
      <c r="M225" s="27" t="s">
        <v>199</v>
      </c>
      <c r="N225" s="24"/>
      <c r="O225" s="24" t="s">
        <v>673</v>
      </c>
      <c r="P225" s="23" t="s">
        <v>66</v>
      </c>
      <c r="Q225" s="23" t="s">
        <v>200</v>
      </c>
      <c r="R225" s="31">
        <v>42736</v>
      </c>
      <c r="S225" s="31">
        <v>43374</v>
      </c>
      <c r="T225" s="39">
        <v>22</v>
      </c>
      <c r="U225" s="40">
        <v>0</v>
      </c>
      <c r="V225" s="40">
        <v>0</v>
      </c>
      <c r="W225" s="40"/>
      <c r="X225" s="23"/>
      <c r="Y225" s="23"/>
      <c r="Z225" s="23"/>
      <c r="AA225" s="23"/>
      <c r="AB225" s="23"/>
      <c r="AC225" s="36"/>
      <c r="AD225" s="36"/>
      <c r="AE225" s="23"/>
      <c r="AF225" s="23"/>
      <c r="AG225" s="23"/>
      <c r="AH225" s="23"/>
      <c r="AI225" s="23"/>
      <c r="AJ225" s="36"/>
      <c r="AK225" s="23"/>
    </row>
    <row r="226" spans="2:37" ht="33" hidden="1" x14ac:dyDescent="0.3">
      <c r="B226" s="23" t="s">
        <v>698</v>
      </c>
      <c r="C226" s="34"/>
      <c r="D226" s="23"/>
      <c r="E226" s="23"/>
      <c r="F226" s="23"/>
      <c r="G226" s="35"/>
      <c r="H226" s="36"/>
      <c r="I226" s="36"/>
      <c r="J226" s="35"/>
      <c r="K226" s="35"/>
      <c r="L226" s="27" t="s">
        <v>640</v>
      </c>
      <c r="M226" s="27" t="s">
        <v>201</v>
      </c>
      <c r="N226" s="24"/>
      <c r="O226" s="24" t="s">
        <v>673</v>
      </c>
      <c r="P226" s="23" t="s">
        <v>66</v>
      </c>
      <c r="Q226" s="23" t="s">
        <v>200</v>
      </c>
      <c r="R226" s="31">
        <v>42552</v>
      </c>
      <c r="S226" s="31">
        <v>42705</v>
      </c>
      <c r="T226" s="39">
        <v>6</v>
      </c>
      <c r="U226" s="40">
        <v>0</v>
      </c>
      <c r="V226" s="40">
        <v>0</v>
      </c>
      <c r="W226" s="40"/>
      <c r="X226" s="23"/>
      <c r="Y226" s="23"/>
      <c r="Z226" s="23"/>
      <c r="AA226" s="23"/>
      <c r="AB226" s="23"/>
      <c r="AC226" s="36"/>
      <c r="AD226" s="36"/>
      <c r="AE226" s="23"/>
      <c r="AF226" s="23"/>
      <c r="AG226" s="23"/>
      <c r="AH226" s="23"/>
      <c r="AI226" s="23"/>
      <c r="AJ226" s="36"/>
      <c r="AK226" s="23"/>
    </row>
    <row r="227" spans="2:37" ht="49.5" hidden="1" x14ac:dyDescent="0.3">
      <c r="B227" s="23" t="s">
        <v>698</v>
      </c>
      <c r="C227" s="34"/>
      <c r="D227" s="23"/>
      <c r="E227" s="23"/>
      <c r="F227" s="23"/>
      <c r="G227" s="35"/>
      <c r="H227" s="36"/>
      <c r="I227" s="36"/>
      <c r="J227" s="35"/>
      <c r="K227" s="35"/>
      <c r="L227" s="27" t="s">
        <v>202</v>
      </c>
      <c r="M227" s="27" t="s">
        <v>203</v>
      </c>
      <c r="N227" s="24" t="s">
        <v>33</v>
      </c>
      <c r="O227" s="24" t="s">
        <v>673</v>
      </c>
      <c r="P227" s="23" t="s">
        <v>186</v>
      </c>
      <c r="Q227" s="23" t="s">
        <v>204</v>
      </c>
      <c r="R227" s="31">
        <v>41944</v>
      </c>
      <c r="S227" s="31">
        <v>42522</v>
      </c>
      <c r="T227" s="39">
        <v>20</v>
      </c>
      <c r="U227" s="40">
        <v>0</v>
      </c>
      <c r="V227" s="40">
        <v>0</v>
      </c>
      <c r="W227" s="40"/>
      <c r="X227" s="23"/>
      <c r="Y227" s="23"/>
      <c r="Z227" s="23"/>
      <c r="AA227" s="23"/>
      <c r="AB227" s="23"/>
      <c r="AC227" s="36"/>
      <c r="AD227" s="36"/>
      <c r="AE227" s="23"/>
      <c r="AF227" s="23"/>
      <c r="AG227" s="23"/>
      <c r="AH227" s="23"/>
      <c r="AI227" s="23"/>
      <c r="AJ227" s="36"/>
      <c r="AK227" s="23"/>
    </row>
    <row r="228" spans="2:37" ht="49.5" hidden="1" x14ac:dyDescent="0.3">
      <c r="B228" s="23" t="s">
        <v>698</v>
      </c>
      <c r="C228" s="34"/>
      <c r="D228" s="23"/>
      <c r="E228" s="23"/>
      <c r="F228" s="23"/>
      <c r="G228" s="35"/>
      <c r="H228" s="36"/>
      <c r="I228" s="36"/>
      <c r="J228" s="35"/>
      <c r="K228" s="35"/>
      <c r="L228" s="24" t="s">
        <v>640</v>
      </c>
      <c r="M228" s="24" t="s">
        <v>205</v>
      </c>
      <c r="N228" s="44"/>
      <c r="O228" s="24" t="s">
        <v>673</v>
      </c>
      <c r="P228" s="23" t="s">
        <v>186</v>
      </c>
      <c r="Q228" s="23" t="s">
        <v>206</v>
      </c>
      <c r="R228" s="31">
        <v>41671</v>
      </c>
      <c r="S228" s="31">
        <v>41913</v>
      </c>
      <c r="T228" s="39">
        <v>9</v>
      </c>
      <c r="U228" s="40">
        <v>0</v>
      </c>
      <c r="V228" s="40">
        <v>0</v>
      </c>
      <c r="W228" s="40"/>
      <c r="X228" s="23"/>
      <c r="Y228" s="23"/>
      <c r="Z228" s="23"/>
      <c r="AA228" s="23"/>
      <c r="AB228" s="23"/>
      <c r="AC228" s="36"/>
      <c r="AD228" s="36"/>
      <c r="AE228" s="23"/>
      <c r="AF228" s="23"/>
      <c r="AG228" s="23"/>
      <c r="AH228" s="23"/>
      <c r="AI228" s="23"/>
      <c r="AJ228" s="36"/>
      <c r="AK228" s="23"/>
    </row>
    <row r="229" spans="2:37" ht="33" hidden="1" x14ac:dyDescent="0.3">
      <c r="B229" s="23" t="s">
        <v>698</v>
      </c>
      <c r="C229" s="34"/>
      <c r="D229" s="23"/>
      <c r="E229" s="23"/>
      <c r="F229" s="23"/>
      <c r="G229" s="35"/>
      <c r="H229" s="36"/>
      <c r="I229" s="36"/>
      <c r="J229" s="35"/>
      <c r="K229" s="35"/>
      <c r="L229" s="24" t="s">
        <v>158</v>
      </c>
      <c r="M229" s="24" t="s">
        <v>207</v>
      </c>
      <c r="N229" s="25"/>
      <c r="O229" s="27"/>
      <c r="P229" s="23" t="s">
        <v>66</v>
      </c>
      <c r="Q229" s="23" t="s">
        <v>208</v>
      </c>
      <c r="R229" s="31">
        <v>41306</v>
      </c>
      <c r="S229" s="31">
        <v>41640</v>
      </c>
      <c r="T229" s="39">
        <v>12</v>
      </c>
      <c r="U229" s="40">
        <v>0</v>
      </c>
      <c r="V229" s="40">
        <v>0</v>
      </c>
      <c r="W229" s="40"/>
      <c r="X229" s="23"/>
      <c r="Y229" s="23"/>
      <c r="Z229" s="23"/>
      <c r="AA229" s="23"/>
      <c r="AB229" s="23"/>
      <c r="AC229" s="36"/>
      <c r="AD229" s="36"/>
      <c r="AE229" s="23"/>
      <c r="AF229" s="23"/>
      <c r="AG229" s="23"/>
      <c r="AH229" s="23"/>
      <c r="AI229" s="23"/>
      <c r="AJ229" s="36"/>
      <c r="AK229" s="23"/>
    </row>
    <row r="230" spans="2:37" ht="33" hidden="1" x14ac:dyDescent="0.3">
      <c r="B230" s="23" t="s">
        <v>696</v>
      </c>
      <c r="C230" s="34"/>
      <c r="D230" s="23"/>
      <c r="E230" s="23"/>
      <c r="F230" s="23"/>
      <c r="G230" s="35"/>
      <c r="H230" s="36"/>
      <c r="I230" s="36"/>
      <c r="J230" s="35"/>
      <c r="K230" s="35"/>
      <c r="L230" s="27" t="s">
        <v>209</v>
      </c>
      <c r="M230" s="27" t="s">
        <v>210</v>
      </c>
      <c r="N230" s="24"/>
      <c r="O230" s="27" t="s">
        <v>53</v>
      </c>
      <c r="P230" s="23"/>
      <c r="Q230" s="23" t="s">
        <v>211</v>
      </c>
      <c r="R230" s="31">
        <v>41153</v>
      </c>
      <c r="S230" s="31">
        <v>41275</v>
      </c>
      <c r="T230" s="39">
        <v>5</v>
      </c>
      <c r="U230" s="40">
        <v>0</v>
      </c>
      <c r="V230" s="40">
        <v>0</v>
      </c>
      <c r="W230" s="40"/>
      <c r="X230" s="23"/>
      <c r="Y230" s="23"/>
      <c r="Z230" s="23"/>
      <c r="AA230" s="23"/>
      <c r="AB230" s="23"/>
      <c r="AC230" s="36"/>
      <c r="AD230" s="36"/>
      <c r="AE230" s="23"/>
      <c r="AF230" s="23"/>
      <c r="AG230" s="23"/>
      <c r="AH230" s="23"/>
      <c r="AI230" s="23"/>
      <c r="AJ230" s="36"/>
      <c r="AK230" s="23"/>
    </row>
    <row r="231" spans="2:37" ht="49.5" hidden="1" x14ac:dyDescent="0.3">
      <c r="B231" s="23" t="s">
        <v>696</v>
      </c>
      <c r="C231" s="34"/>
      <c r="D231" s="23"/>
      <c r="E231" s="23"/>
      <c r="F231" s="23"/>
      <c r="G231" s="35"/>
      <c r="H231" s="36"/>
      <c r="I231" s="36"/>
      <c r="J231" s="35"/>
      <c r="K231" s="35"/>
      <c r="L231" s="27" t="s">
        <v>202</v>
      </c>
      <c r="M231" s="27" t="s">
        <v>212</v>
      </c>
      <c r="N231" s="24"/>
      <c r="O231" s="24" t="s">
        <v>699</v>
      </c>
      <c r="P231" s="23"/>
      <c r="Q231" s="23" t="s">
        <v>213</v>
      </c>
      <c r="R231" s="31">
        <v>41000</v>
      </c>
      <c r="S231" s="31">
        <v>41122</v>
      </c>
      <c r="T231" s="39">
        <v>5</v>
      </c>
      <c r="U231" s="40">
        <v>0</v>
      </c>
      <c r="V231" s="40">
        <v>0</v>
      </c>
      <c r="W231" s="40"/>
      <c r="X231" s="23"/>
      <c r="Y231" s="23"/>
      <c r="Z231" s="23"/>
      <c r="AA231" s="23"/>
      <c r="AB231" s="23"/>
      <c r="AC231" s="36"/>
      <c r="AD231" s="36"/>
      <c r="AE231" s="23"/>
      <c r="AF231" s="23"/>
      <c r="AG231" s="23"/>
      <c r="AH231" s="23"/>
      <c r="AI231" s="23"/>
      <c r="AJ231" s="36"/>
      <c r="AK231" s="23"/>
    </row>
    <row r="232" spans="2:37" ht="33" hidden="1" x14ac:dyDescent="0.3">
      <c r="B232" s="23" t="s">
        <v>698</v>
      </c>
      <c r="C232" s="34"/>
      <c r="D232" s="23"/>
      <c r="E232" s="23"/>
      <c r="F232" s="23"/>
      <c r="G232" s="35"/>
      <c r="H232" s="36"/>
      <c r="I232" s="36"/>
      <c r="J232" s="35"/>
      <c r="K232" s="35"/>
      <c r="L232" s="25" t="s">
        <v>68</v>
      </c>
      <c r="M232" s="24" t="s">
        <v>214</v>
      </c>
      <c r="N232" s="44"/>
      <c r="O232" s="24" t="s">
        <v>673</v>
      </c>
      <c r="P232" s="23" t="s">
        <v>186</v>
      </c>
      <c r="Q232" s="23" t="s">
        <v>211</v>
      </c>
      <c r="R232" s="31">
        <v>40817</v>
      </c>
      <c r="S232" s="31">
        <v>40969</v>
      </c>
      <c r="T232" s="39">
        <v>6</v>
      </c>
      <c r="U232" s="40">
        <v>0</v>
      </c>
      <c r="V232" s="40">
        <v>16</v>
      </c>
      <c r="W232" s="40"/>
      <c r="X232" s="23"/>
      <c r="Y232" s="23"/>
      <c r="Z232" s="23"/>
      <c r="AA232" s="23"/>
      <c r="AB232" s="23"/>
      <c r="AC232" s="36"/>
      <c r="AD232" s="36"/>
      <c r="AE232" s="23"/>
      <c r="AF232" s="23"/>
      <c r="AG232" s="23"/>
      <c r="AH232" s="23"/>
      <c r="AI232" s="23"/>
      <c r="AJ232" s="36"/>
      <c r="AK232" s="23"/>
    </row>
    <row r="233" spans="2:37" ht="33" hidden="1" x14ac:dyDescent="0.3">
      <c r="B233" s="23" t="s">
        <v>696</v>
      </c>
      <c r="C233" s="34"/>
      <c r="D233" s="23"/>
      <c r="E233" s="23"/>
      <c r="F233" s="23"/>
      <c r="G233" s="35"/>
      <c r="H233" s="36"/>
      <c r="I233" s="36"/>
      <c r="J233" s="35"/>
      <c r="K233" s="35"/>
      <c r="L233" s="27" t="s">
        <v>156</v>
      </c>
      <c r="M233" s="27" t="s">
        <v>215</v>
      </c>
      <c r="N233" s="24"/>
      <c r="O233" s="24" t="s">
        <v>700</v>
      </c>
      <c r="P233" s="23"/>
      <c r="Q233" s="31" t="s">
        <v>216</v>
      </c>
      <c r="R233" s="31">
        <v>40118</v>
      </c>
      <c r="S233" s="31">
        <v>40299</v>
      </c>
      <c r="T233" s="39">
        <v>7</v>
      </c>
      <c r="U233" s="40">
        <v>0</v>
      </c>
      <c r="V233" s="40">
        <v>0</v>
      </c>
      <c r="W233" s="40"/>
      <c r="X233" s="23"/>
      <c r="Y233" s="23"/>
      <c r="Z233" s="23"/>
      <c r="AA233" s="23"/>
      <c r="AB233" s="23"/>
      <c r="AC233" s="36"/>
      <c r="AD233" s="36"/>
      <c r="AE233" s="23"/>
      <c r="AF233" s="23"/>
      <c r="AG233" s="23"/>
      <c r="AH233" s="23"/>
      <c r="AI233" s="23"/>
      <c r="AJ233" s="36"/>
      <c r="AK233" s="23"/>
    </row>
    <row r="234" spans="2:37" ht="49.5" hidden="1" x14ac:dyDescent="0.3">
      <c r="B234" s="23" t="s">
        <v>698</v>
      </c>
      <c r="C234" s="34"/>
      <c r="D234" s="23"/>
      <c r="E234" s="23"/>
      <c r="F234" s="23"/>
      <c r="G234" s="35"/>
      <c r="H234" s="36"/>
      <c r="I234" s="36"/>
      <c r="J234" s="35"/>
      <c r="K234" s="35"/>
      <c r="L234" s="27" t="s">
        <v>640</v>
      </c>
      <c r="M234" s="27" t="s">
        <v>217</v>
      </c>
      <c r="N234" s="24"/>
      <c r="O234" s="24" t="s">
        <v>30</v>
      </c>
      <c r="P234" s="23" t="s">
        <v>186</v>
      </c>
      <c r="Q234" s="23" t="s">
        <v>206</v>
      </c>
      <c r="R234" s="31">
        <v>39814</v>
      </c>
      <c r="S234" s="31">
        <v>40087</v>
      </c>
      <c r="T234" s="39">
        <v>10</v>
      </c>
      <c r="U234" s="40">
        <v>0</v>
      </c>
      <c r="V234" s="40">
        <v>12</v>
      </c>
      <c r="W234" s="40"/>
      <c r="X234" s="23"/>
      <c r="Y234" s="23"/>
      <c r="Z234" s="23"/>
      <c r="AA234" s="23"/>
      <c r="AB234" s="23"/>
      <c r="AC234" s="36"/>
      <c r="AD234" s="36"/>
      <c r="AE234" s="23"/>
      <c r="AF234" s="23"/>
      <c r="AG234" s="23"/>
      <c r="AH234" s="23"/>
      <c r="AI234" s="23"/>
      <c r="AJ234" s="36"/>
      <c r="AK234" s="23"/>
    </row>
    <row r="235" spans="2:37" ht="33" hidden="1" x14ac:dyDescent="0.3">
      <c r="B235" s="23" t="s">
        <v>698</v>
      </c>
      <c r="C235" s="34"/>
      <c r="D235" s="23"/>
      <c r="E235" s="23"/>
      <c r="F235" s="23"/>
      <c r="G235" s="35"/>
      <c r="H235" s="36"/>
      <c r="I235" s="36"/>
      <c r="J235" s="35"/>
      <c r="K235" s="35"/>
      <c r="L235" s="24" t="s">
        <v>218</v>
      </c>
      <c r="M235" s="24" t="s">
        <v>219</v>
      </c>
      <c r="N235" s="25"/>
      <c r="O235" s="24" t="s">
        <v>673</v>
      </c>
      <c r="P235" s="23" t="s">
        <v>186</v>
      </c>
      <c r="Q235" s="23" t="s">
        <v>211</v>
      </c>
      <c r="R235" s="31">
        <v>39203</v>
      </c>
      <c r="S235" s="31">
        <v>39417</v>
      </c>
      <c r="T235" s="39">
        <v>8</v>
      </c>
      <c r="U235" s="40">
        <v>0</v>
      </c>
      <c r="V235" s="40">
        <v>0</v>
      </c>
      <c r="W235" s="40"/>
      <c r="X235" s="23"/>
      <c r="Y235" s="23"/>
      <c r="Z235" s="23"/>
      <c r="AA235" s="23"/>
      <c r="AB235" s="23"/>
      <c r="AC235" s="36"/>
      <c r="AD235" s="36"/>
      <c r="AE235" s="23"/>
      <c r="AF235" s="23"/>
      <c r="AG235" s="23"/>
      <c r="AH235" s="23"/>
      <c r="AI235" s="23"/>
      <c r="AJ235" s="36"/>
      <c r="AK235" s="23"/>
    </row>
    <row r="236" spans="2:37" ht="33" hidden="1" x14ac:dyDescent="0.3">
      <c r="B236" s="23" t="s">
        <v>698</v>
      </c>
      <c r="C236" s="34"/>
      <c r="D236" s="23"/>
      <c r="E236" s="23"/>
      <c r="F236" s="23"/>
      <c r="G236" s="35"/>
      <c r="H236" s="36"/>
      <c r="I236" s="36"/>
      <c r="J236" s="35"/>
      <c r="K236" s="35"/>
      <c r="L236" s="27" t="s">
        <v>640</v>
      </c>
      <c r="M236" s="27" t="s">
        <v>220</v>
      </c>
      <c r="N236" s="24"/>
      <c r="O236" s="27" t="s">
        <v>30</v>
      </c>
      <c r="P236" s="23" t="s">
        <v>186</v>
      </c>
      <c r="Q236" s="23" t="s">
        <v>221</v>
      </c>
      <c r="R236" s="31">
        <v>39022</v>
      </c>
      <c r="S236" s="31">
        <v>39173</v>
      </c>
      <c r="T236" s="39">
        <v>6</v>
      </c>
      <c r="U236" s="40">
        <v>0</v>
      </c>
      <c r="V236" s="40">
        <v>0</v>
      </c>
      <c r="W236" s="40"/>
      <c r="X236" s="23"/>
      <c r="Y236" s="23"/>
      <c r="Z236" s="23"/>
      <c r="AA236" s="23"/>
      <c r="AB236" s="23"/>
      <c r="AC236" s="36"/>
      <c r="AD236" s="36"/>
      <c r="AE236" s="23"/>
      <c r="AF236" s="23"/>
      <c r="AG236" s="23"/>
      <c r="AH236" s="23"/>
      <c r="AI236" s="23"/>
      <c r="AJ236" s="36"/>
      <c r="AK236" s="23"/>
    </row>
    <row r="237" spans="2:37" ht="33" hidden="1" x14ac:dyDescent="0.3">
      <c r="B237" s="23" t="s">
        <v>698</v>
      </c>
      <c r="C237" s="34"/>
      <c r="D237" s="23"/>
      <c r="E237" s="23"/>
      <c r="F237" s="23"/>
      <c r="G237" s="35"/>
      <c r="H237" s="36"/>
      <c r="I237" s="36"/>
      <c r="J237" s="35"/>
      <c r="K237" s="35"/>
      <c r="L237" s="27" t="s">
        <v>45</v>
      </c>
      <c r="M237" s="27" t="s">
        <v>222</v>
      </c>
      <c r="N237" s="24"/>
      <c r="O237" s="27" t="s">
        <v>673</v>
      </c>
      <c r="P237" s="23" t="s">
        <v>66</v>
      </c>
      <c r="Q237" s="23" t="s">
        <v>200</v>
      </c>
      <c r="R237" s="31">
        <v>38718</v>
      </c>
      <c r="S237" s="31">
        <v>38991</v>
      </c>
      <c r="T237" s="39">
        <v>10</v>
      </c>
      <c r="U237" s="40">
        <v>0</v>
      </c>
      <c r="V237" s="40">
        <v>0</v>
      </c>
      <c r="W237" s="40"/>
      <c r="X237" s="23"/>
      <c r="Y237" s="23"/>
      <c r="Z237" s="23"/>
      <c r="AA237" s="23"/>
      <c r="AB237" s="23"/>
      <c r="AC237" s="36"/>
      <c r="AD237" s="36"/>
      <c r="AE237" s="23"/>
      <c r="AF237" s="23"/>
      <c r="AG237" s="23"/>
      <c r="AH237" s="23"/>
      <c r="AI237" s="23"/>
      <c r="AJ237" s="36"/>
      <c r="AK237" s="23"/>
    </row>
    <row r="238" spans="2:37" ht="33" hidden="1" x14ac:dyDescent="0.3">
      <c r="B238" s="23" t="s">
        <v>698</v>
      </c>
      <c r="C238" s="34"/>
      <c r="D238" s="23"/>
      <c r="E238" s="23"/>
      <c r="F238" s="23"/>
      <c r="G238" s="35"/>
      <c r="H238" s="36"/>
      <c r="I238" s="36"/>
      <c r="J238" s="35"/>
      <c r="K238" s="35"/>
      <c r="L238" s="27" t="s">
        <v>640</v>
      </c>
      <c r="M238" s="27" t="s">
        <v>223</v>
      </c>
      <c r="N238" s="24"/>
      <c r="O238" s="24" t="s">
        <v>30</v>
      </c>
      <c r="P238" s="23" t="s">
        <v>66</v>
      </c>
      <c r="Q238" s="23" t="s">
        <v>200</v>
      </c>
      <c r="R238" s="31">
        <v>37561</v>
      </c>
      <c r="S238" s="31">
        <v>38687</v>
      </c>
      <c r="T238" s="39">
        <v>38</v>
      </c>
      <c r="U238" s="40">
        <v>0</v>
      </c>
      <c r="V238" s="40">
        <v>2</v>
      </c>
      <c r="W238" s="40"/>
      <c r="X238" s="23"/>
      <c r="Y238" s="23"/>
      <c r="Z238" s="23"/>
      <c r="AA238" s="23"/>
      <c r="AB238" s="23"/>
      <c r="AC238" s="36"/>
      <c r="AD238" s="36"/>
      <c r="AE238" s="23"/>
      <c r="AF238" s="23"/>
      <c r="AG238" s="23"/>
      <c r="AH238" s="23"/>
      <c r="AI238" s="23"/>
      <c r="AJ238" s="36"/>
      <c r="AK238" s="23"/>
    </row>
    <row r="239" spans="2:37" ht="33" hidden="1" x14ac:dyDescent="0.3">
      <c r="B239" s="23" t="s">
        <v>698</v>
      </c>
      <c r="C239" s="34"/>
      <c r="D239" s="23"/>
      <c r="E239" s="23"/>
      <c r="F239" s="23"/>
      <c r="G239" s="35"/>
      <c r="H239" s="36"/>
      <c r="I239" s="36"/>
      <c r="J239" s="35"/>
      <c r="K239" s="35"/>
      <c r="L239" s="24" t="s">
        <v>640</v>
      </c>
      <c r="M239" s="24" t="s">
        <v>224</v>
      </c>
      <c r="N239" s="44"/>
      <c r="O239" s="24" t="s">
        <v>30</v>
      </c>
      <c r="P239" s="23" t="s">
        <v>66</v>
      </c>
      <c r="Q239" s="23" t="s">
        <v>221</v>
      </c>
      <c r="R239" s="31">
        <v>36192</v>
      </c>
      <c r="S239" s="31">
        <v>37469</v>
      </c>
      <c r="T239" s="39">
        <v>43</v>
      </c>
      <c r="U239" s="40">
        <v>0</v>
      </c>
      <c r="V239" s="40">
        <v>1</v>
      </c>
      <c r="W239" s="40"/>
      <c r="X239" s="23"/>
      <c r="Y239" s="23"/>
      <c r="Z239" s="23"/>
      <c r="AA239" s="23"/>
      <c r="AB239" s="23"/>
      <c r="AC239" s="36"/>
      <c r="AD239" s="36"/>
      <c r="AE239" s="23"/>
      <c r="AF239" s="23"/>
      <c r="AG239" s="23"/>
      <c r="AH239" s="23"/>
      <c r="AI239" s="23"/>
      <c r="AJ239" s="36"/>
      <c r="AK239" s="23"/>
    </row>
    <row r="240" spans="2:37" ht="33" hidden="1" x14ac:dyDescent="0.3">
      <c r="B240" s="23" t="s">
        <v>696</v>
      </c>
      <c r="C240" s="34"/>
      <c r="D240" s="23"/>
      <c r="E240" s="23"/>
      <c r="F240" s="23"/>
      <c r="G240" s="35"/>
      <c r="H240" s="36"/>
      <c r="I240" s="36"/>
      <c r="J240" s="35"/>
      <c r="K240" s="35"/>
      <c r="L240" s="24" t="s">
        <v>45</v>
      </c>
      <c r="M240" s="24" t="s">
        <v>225</v>
      </c>
      <c r="N240" s="44"/>
      <c r="O240" s="24" t="s">
        <v>673</v>
      </c>
      <c r="P240" s="23" t="s">
        <v>186</v>
      </c>
      <c r="Q240" s="23" t="s">
        <v>221</v>
      </c>
      <c r="R240" s="31">
        <v>35855</v>
      </c>
      <c r="S240" s="31">
        <v>36130</v>
      </c>
      <c r="T240" s="39">
        <v>10</v>
      </c>
      <c r="U240" s="40">
        <v>0</v>
      </c>
      <c r="V240" s="40">
        <v>0</v>
      </c>
      <c r="W240" s="40"/>
      <c r="X240" s="23"/>
      <c r="Y240" s="23"/>
      <c r="Z240" s="23"/>
      <c r="AA240" s="23"/>
      <c r="AB240" s="23"/>
      <c r="AC240" s="36"/>
      <c r="AD240" s="36"/>
      <c r="AE240" s="23"/>
      <c r="AF240" s="23"/>
      <c r="AG240" s="23"/>
      <c r="AH240" s="23"/>
      <c r="AI240" s="23"/>
      <c r="AJ240" s="36"/>
      <c r="AK240" s="23"/>
    </row>
    <row r="241" spans="1:37" ht="33" hidden="1" x14ac:dyDescent="0.3">
      <c r="B241" s="23" t="s">
        <v>698</v>
      </c>
      <c r="C241" s="34"/>
      <c r="D241" s="23"/>
      <c r="E241" s="23"/>
      <c r="F241" s="23"/>
      <c r="G241" s="35"/>
      <c r="H241" s="36"/>
      <c r="I241" s="36"/>
      <c r="J241" s="35"/>
      <c r="K241" s="35"/>
      <c r="L241" s="24" t="s">
        <v>45</v>
      </c>
      <c r="M241" s="24" t="s">
        <v>226</v>
      </c>
      <c r="N241" s="25"/>
      <c r="O241" s="24" t="s">
        <v>673</v>
      </c>
      <c r="P241" s="23" t="s">
        <v>186</v>
      </c>
      <c r="Q241" s="23" t="s">
        <v>211</v>
      </c>
      <c r="R241" s="31">
        <v>35582</v>
      </c>
      <c r="S241" s="31">
        <v>35827</v>
      </c>
      <c r="T241" s="39">
        <v>9</v>
      </c>
      <c r="U241" s="40">
        <v>0</v>
      </c>
      <c r="V241" s="40">
        <v>0</v>
      </c>
      <c r="W241" s="40"/>
      <c r="X241" s="23"/>
      <c r="Y241" s="23"/>
      <c r="Z241" s="23"/>
      <c r="AA241" s="23"/>
      <c r="AB241" s="23"/>
      <c r="AC241" s="36"/>
      <c r="AD241" s="36"/>
      <c r="AE241" s="23"/>
      <c r="AF241" s="23"/>
      <c r="AG241" s="23"/>
      <c r="AH241" s="23"/>
      <c r="AI241" s="23"/>
      <c r="AJ241" s="36"/>
      <c r="AK241" s="23"/>
    </row>
    <row r="242" spans="1:37" ht="33" hidden="1" x14ac:dyDescent="0.3">
      <c r="B242" s="23" t="s">
        <v>696</v>
      </c>
      <c r="C242" s="34"/>
      <c r="D242" s="23"/>
      <c r="E242" s="23"/>
      <c r="F242" s="23"/>
      <c r="G242" s="35"/>
      <c r="H242" s="36"/>
      <c r="I242" s="36"/>
      <c r="J242" s="35"/>
      <c r="K242" s="35"/>
      <c r="L242" s="27" t="s">
        <v>188</v>
      </c>
      <c r="M242" s="27" t="s">
        <v>227</v>
      </c>
      <c r="N242" s="24"/>
      <c r="O242" s="24"/>
      <c r="P242" s="23" t="s">
        <v>67</v>
      </c>
      <c r="Q242" s="23" t="s">
        <v>228</v>
      </c>
      <c r="R242" s="31">
        <v>29921</v>
      </c>
      <c r="S242" s="31">
        <v>35551</v>
      </c>
      <c r="T242" s="39">
        <v>186</v>
      </c>
      <c r="U242" s="40">
        <v>0</v>
      </c>
      <c r="V242" s="40">
        <v>0</v>
      </c>
      <c r="W242" s="40"/>
      <c r="X242" s="23"/>
      <c r="Y242" s="23"/>
      <c r="Z242" s="23"/>
      <c r="AA242" s="23"/>
      <c r="AB242" s="23"/>
      <c r="AC242" s="36"/>
      <c r="AD242" s="36"/>
      <c r="AE242" s="23"/>
      <c r="AF242" s="23"/>
      <c r="AG242" s="23"/>
      <c r="AH242" s="23"/>
      <c r="AI242" s="23"/>
      <c r="AJ242" s="36"/>
      <c r="AK242" s="23"/>
    </row>
    <row r="243" spans="1:37" hidden="1" x14ac:dyDescent="0.3">
      <c r="B243" s="23"/>
      <c r="C243" s="34"/>
      <c r="D243" s="23"/>
      <c r="E243" s="23"/>
      <c r="F243" s="23"/>
      <c r="G243" s="35"/>
      <c r="H243" s="36"/>
      <c r="I243" s="36"/>
      <c r="J243" s="35"/>
      <c r="K243" s="35"/>
      <c r="L243" s="27"/>
      <c r="M243" s="27"/>
      <c r="N243" s="24"/>
      <c r="O243" s="24"/>
      <c r="P243" s="23"/>
      <c r="Q243" s="23"/>
      <c r="R243" s="31"/>
      <c r="S243" s="31"/>
      <c r="T243" s="39"/>
      <c r="U243" s="40"/>
      <c r="V243" s="40"/>
      <c r="W243" s="40"/>
      <c r="X243" s="23"/>
      <c r="Y243" s="23"/>
      <c r="Z243" s="23"/>
      <c r="AA243" s="23"/>
      <c r="AB243" s="23"/>
      <c r="AC243" s="36"/>
      <c r="AD243" s="36"/>
      <c r="AE243" s="23"/>
      <c r="AF243" s="23"/>
      <c r="AG243" s="23"/>
      <c r="AH243" s="23"/>
      <c r="AI243" s="23"/>
      <c r="AJ243" s="36"/>
      <c r="AK243" s="23"/>
    </row>
    <row r="244" spans="1:37" ht="33" x14ac:dyDescent="0.3">
      <c r="A244">
        <v>15</v>
      </c>
      <c r="B244" s="23" t="s">
        <v>701</v>
      </c>
      <c r="C244" s="34">
        <v>21994</v>
      </c>
      <c r="D244" s="23" t="s">
        <v>702</v>
      </c>
      <c r="E244" s="23" t="s">
        <v>626</v>
      </c>
      <c r="F244" s="23" t="s">
        <v>26</v>
      </c>
      <c r="G244" s="35">
        <v>44805</v>
      </c>
      <c r="H244" s="43">
        <v>0.33333333333333331</v>
      </c>
      <c r="I244" s="36" t="s">
        <v>666</v>
      </c>
      <c r="J244" s="35">
        <v>44691</v>
      </c>
      <c r="K244" s="35" t="s">
        <v>855</v>
      </c>
      <c r="L244" s="23" t="s">
        <v>229</v>
      </c>
      <c r="M244" s="23" t="s">
        <v>230</v>
      </c>
      <c r="N244" s="25"/>
      <c r="O244" s="24" t="s">
        <v>673</v>
      </c>
      <c r="P244" s="23"/>
      <c r="Q244" s="32" t="s">
        <v>703</v>
      </c>
      <c r="R244" s="45">
        <v>44348</v>
      </c>
      <c r="S244" s="45">
        <v>44682</v>
      </c>
      <c r="T244" s="39">
        <v>12</v>
      </c>
      <c r="U244" s="40">
        <v>0</v>
      </c>
      <c r="V244" s="40">
        <v>0</v>
      </c>
      <c r="W244" s="40"/>
      <c r="X244" s="23"/>
      <c r="Y244" s="23"/>
      <c r="Z244" s="23"/>
      <c r="AA244" s="23" t="s">
        <v>58</v>
      </c>
      <c r="AB244" s="23" t="s">
        <v>670</v>
      </c>
      <c r="AC244" s="36">
        <v>31.67</v>
      </c>
      <c r="AD244" s="36">
        <v>8.67</v>
      </c>
      <c r="AE244" s="23">
        <v>3</v>
      </c>
      <c r="AF244" s="23">
        <v>0</v>
      </c>
      <c r="AG244" s="23">
        <v>3</v>
      </c>
      <c r="AH244" s="23">
        <v>0</v>
      </c>
      <c r="AI244" s="23">
        <v>6.08</v>
      </c>
      <c r="AJ244" s="36">
        <v>6.67</v>
      </c>
      <c r="AK244" s="23">
        <v>4</v>
      </c>
    </row>
    <row r="245" spans="1:37" ht="66" hidden="1" x14ac:dyDescent="0.3">
      <c r="B245" s="23" t="s">
        <v>701</v>
      </c>
      <c r="C245" s="34"/>
      <c r="D245" s="23"/>
      <c r="E245" s="23"/>
      <c r="F245" s="23"/>
      <c r="G245" s="35"/>
      <c r="H245" s="36"/>
      <c r="I245" s="36"/>
      <c r="J245" s="35"/>
      <c r="K245" s="35"/>
      <c r="L245" s="23" t="s">
        <v>68</v>
      </c>
      <c r="M245" s="32" t="s">
        <v>810</v>
      </c>
      <c r="N245" s="24"/>
      <c r="O245" s="24"/>
      <c r="P245" s="23"/>
      <c r="Q245" s="23" t="s">
        <v>231</v>
      </c>
      <c r="R245" s="45">
        <v>42979</v>
      </c>
      <c r="S245" s="45">
        <v>44317</v>
      </c>
      <c r="T245" s="39">
        <v>45</v>
      </c>
      <c r="U245" s="40">
        <v>0</v>
      </c>
      <c r="V245" s="40">
        <v>1</v>
      </c>
      <c r="W245" s="40"/>
      <c r="X245" s="23"/>
      <c r="Y245" s="23"/>
      <c r="Z245" s="23"/>
      <c r="AA245" s="23"/>
      <c r="AB245" s="23"/>
      <c r="AC245" s="36"/>
      <c r="AD245" s="36"/>
      <c r="AE245" s="23"/>
      <c r="AF245" s="23"/>
      <c r="AG245" s="23"/>
      <c r="AH245" s="23"/>
      <c r="AI245" s="23"/>
      <c r="AJ245" s="36"/>
      <c r="AK245" s="23"/>
    </row>
    <row r="246" spans="1:37" ht="33" hidden="1" x14ac:dyDescent="0.3">
      <c r="B246" s="23" t="s">
        <v>701</v>
      </c>
      <c r="C246" s="34"/>
      <c r="D246" s="23"/>
      <c r="E246" s="23"/>
      <c r="F246" s="23"/>
      <c r="G246" s="35"/>
      <c r="H246" s="36"/>
      <c r="I246" s="36"/>
      <c r="J246" s="35"/>
      <c r="K246" s="35"/>
      <c r="L246" s="30" t="s">
        <v>232</v>
      </c>
      <c r="M246" s="30" t="s">
        <v>856</v>
      </c>
      <c r="N246" s="24"/>
      <c r="O246" s="24" t="s">
        <v>704</v>
      </c>
      <c r="P246" s="23"/>
      <c r="Q246" s="30" t="s">
        <v>867</v>
      </c>
      <c r="R246" s="45">
        <v>42491</v>
      </c>
      <c r="S246" s="46">
        <v>42917</v>
      </c>
      <c r="T246" s="39">
        <v>15</v>
      </c>
      <c r="U246" s="40">
        <v>0</v>
      </c>
      <c r="V246" s="40">
        <v>0</v>
      </c>
      <c r="W246" s="40"/>
      <c r="X246" s="23"/>
      <c r="Y246" s="23"/>
      <c r="Z246" s="23"/>
      <c r="AA246" s="23"/>
      <c r="AB246" s="23"/>
      <c r="AC246" s="36"/>
      <c r="AD246" s="36"/>
      <c r="AE246" s="23"/>
      <c r="AF246" s="23"/>
      <c r="AG246" s="23"/>
      <c r="AH246" s="23"/>
      <c r="AI246" s="23"/>
      <c r="AJ246" s="36"/>
      <c r="AK246" s="23"/>
    </row>
    <row r="247" spans="1:37" ht="33" hidden="1" x14ac:dyDescent="0.3">
      <c r="B247" s="23" t="s">
        <v>701</v>
      </c>
      <c r="C247" s="34"/>
      <c r="D247" s="23"/>
      <c r="E247" s="23"/>
      <c r="F247" s="23"/>
      <c r="G247" s="35"/>
      <c r="H247" s="36"/>
      <c r="I247" s="36"/>
      <c r="J247" s="35"/>
      <c r="K247" s="35"/>
      <c r="L247" s="30" t="s">
        <v>229</v>
      </c>
      <c r="M247" s="32" t="s">
        <v>233</v>
      </c>
      <c r="N247" s="24"/>
      <c r="O247" s="24" t="s">
        <v>256</v>
      </c>
      <c r="P247" s="23"/>
      <c r="Q247" s="30" t="s">
        <v>234</v>
      </c>
      <c r="R247" s="45">
        <v>42248</v>
      </c>
      <c r="S247" s="46">
        <v>42461</v>
      </c>
      <c r="T247" s="39">
        <v>8</v>
      </c>
      <c r="U247" s="40">
        <v>0</v>
      </c>
      <c r="V247" s="40">
        <v>1</v>
      </c>
      <c r="W247" s="40"/>
      <c r="X247" s="23"/>
      <c r="Y247" s="23"/>
      <c r="Z247" s="23"/>
      <c r="AA247" s="23"/>
      <c r="AB247" s="23"/>
      <c r="AC247" s="36"/>
      <c r="AD247" s="36"/>
      <c r="AE247" s="23"/>
      <c r="AF247" s="23"/>
      <c r="AG247" s="23"/>
      <c r="AH247" s="23"/>
      <c r="AI247" s="23"/>
      <c r="AJ247" s="36"/>
      <c r="AK247" s="23"/>
    </row>
    <row r="248" spans="1:37" ht="33" hidden="1" x14ac:dyDescent="0.3">
      <c r="B248" s="23" t="s">
        <v>701</v>
      </c>
      <c r="C248" s="34"/>
      <c r="D248" s="23"/>
      <c r="E248" s="23"/>
      <c r="F248" s="23"/>
      <c r="G248" s="35"/>
      <c r="H248" s="36"/>
      <c r="I248" s="36"/>
      <c r="J248" s="35"/>
      <c r="K248" s="35"/>
      <c r="L248" s="30" t="s">
        <v>71</v>
      </c>
      <c r="M248" s="30" t="s">
        <v>235</v>
      </c>
      <c r="N248" s="44"/>
      <c r="O248" s="24" t="s">
        <v>704</v>
      </c>
      <c r="P248" s="23"/>
      <c r="Q248" s="30" t="s">
        <v>236</v>
      </c>
      <c r="R248" s="45">
        <v>40026</v>
      </c>
      <c r="S248" s="46">
        <v>42186</v>
      </c>
      <c r="T248" s="39">
        <v>72</v>
      </c>
      <c r="U248" s="40">
        <v>0</v>
      </c>
      <c r="V248" s="40">
        <v>9</v>
      </c>
      <c r="W248" s="40"/>
      <c r="X248" s="23"/>
      <c r="Y248" s="23"/>
      <c r="Z248" s="23"/>
      <c r="AA248" s="23"/>
      <c r="AB248" s="23"/>
      <c r="AC248" s="36"/>
      <c r="AD248" s="36"/>
      <c r="AE248" s="23"/>
      <c r="AF248" s="23"/>
      <c r="AG248" s="23"/>
      <c r="AH248" s="23"/>
      <c r="AI248" s="23"/>
      <c r="AJ248" s="36"/>
      <c r="AK248" s="23"/>
    </row>
    <row r="249" spans="1:37" hidden="1" x14ac:dyDescent="0.3">
      <c r="B249" s="23" t="s">
        <v>701</v>
      </c>
      <c r="C249" s="34"/>
      <c r="D249" s="23"/>
      <c r="E249" s="23"/>
      <c r="F249" s="23"/>
      <c r="G249" s="35"/>
      <c r="H249" s="36"/>
      <c r="I249" s="36"/>
      <c r="J249" s="35"/>
      <c r="K249" s="35"/>
      <c r="L249" s="30" t="s">
        <v>71</v>
      </c>
      <c r="M249" s="30" t="s">
        <v>237</v>
      </c>
      <c r="N249" s="25"/>
      <c r="O249" s="24" t="s">
        <v>704</v>
      </c>
      <c r="P249" s="23"/>
      <c r="Q249" s="30" t="s">
        <v>238</v>
      </c>
      <c r="R249" s="45">
        <v>38808</v>
      </c>
      <c r="S249" s="46">
        <v>39722</v>
      </c>
      <c r="T249" s="39">
        <v>31</v>
      </c>
      <c r="U249" s="40">
        <v>0</v>
      </c>
      <c r="V249" s="40">
        <v>0</v>
      </c>
      <c r="W249" s="40"/>
      <c r="X249" s="23"/>
      <c r="Y249" s="23"/>
      <c r="Z249" s="23"/>
      <c r="AA249" s="23"/>
      <c r="AB249" s="23"/>
      <c r="AC249" s="36"/>
      <c r="AD249" s="36"/>
      <c r="AE249" s="23"/>
      <c r="AF249" s="23"/>
      <c r="AG249" s="23"/>
      <c r="AH249" s="23"/>
      <c r="AI249" s="23"/>
      <c r="AJ249" s="36"/>
      <c r="AK249" s="23"/>
    </row>
    <row r="250" spans="1:37" ht="33" hidden="1" x14ac:dyDescent="0.3">
      <c r="B250" s="23" t="s">
        <v>701</v>
      </c>
      <c r="C250" s="34"/>
      <c r="D250" s="23"/>
      <c r="E250" s="23"/>
      <c r="F250" s="23"/>
      <c r="G250" s="35"/>
      <c r="H250" s="36"/>
      <c r="I250" s="36"/>
      <c r="J250" s="35"/>
      <c r="K250" s="35"/>
      <c r="L250" s="30" t="s">
        <v>71</v>
      </c>
      <c r="M250" s="30" t="s">
        <v>239</v>
      </c>
      <c r="N250" s="24"/>
      <c r="O250" s="24" t="s">
        <v>705</v>
      </c>
      <c r="P250" s="23"/>
      <c r="Q250" s="30" t="s">
        <v>240</v>
      </c>
      <c r="R250" s="45">
        <v>38596</v>
      </c>
      <c r="S250" s="46">
        <v>38777</v>
      </c>
      <c r="T250" s="39">
        <v>7</v>
      </c>
      <c r="U250" s="40">
        <v>0</v>
      </c>
      <c r="V250" s="40">
        <v>34</v>
      </c>
      <c r="W250" s="40"/>
      <c r="X250" s="23"/>
      <c r="Y250" s="23"/>
      <c r="Z250" s="23"/>
      <c r="AA250" s="23"/>
      <c r="AB250" s="23"/>
      <c r="AC250" s="36"/>
      <c r="AD250" s="36"/>
      <c r="AE250" s="23"/>
      <c r="AF250" s="23"/>
      <c r="AG250" s="23"/>
      <c r="AH250" s="23"/>
      <c r="AI250" s="23"/>
      <c r="AJ250" s="36"/>
      <c r="AK250" s="23"/>
    </row>
    <row r="251" spans="1:37" ht="33" hidden="1" x14ac:dyDescent="0.3">
      <c r="B251" s="23" t="s">
        <v>701</v>
      </c>
      <c r="C251" s="34"/>
      <c r="D251" s="23"/>
      <c r="E251" s="23"/>
      <c r="F251" s="23"/>
      <c r="G251" s="35"/>
      <c r="H251" s="36"/>
      <c r="I251" s="36"/>
      <c r="J251" s="35"/>
      <c r="K251" s="35"/>
      <c r="L251" s="30" t="s">
        <v>71</v>
      </c>
      <c r="M251" s="30" t="s">
        <v>241</v>
      </c>
      <c r="N251" s="24"/>
      <c r="O251" s="24" t="s">
        <v>30</v>
      </c>
      <c r="P251" s="23"/>
      <c r="Q251" s="30" t="s">
        <v>242</v>
      </c>
      <c r="R251" s="45">
        <v>37408</v>
      </c>
      <c r="S251" s="46">
        <v>37530</v>
      </c>
      <c r="T251" s="39">
        <v>5</v>
      </c>
      <c r="U251" s="40">
        <v>0</v>
      </c>
      <c r="V251" s="40">
        <v>0</v>
      </c>
      <c r="W251" s="40"/>
      <c r="X251" s="23"/>
      <c r="Y251" s="23"/>
      <c r="Z251" s="23"/>
      <c r="AA251" s="23"/>
      <c r="AB251" s="23"/>
      <c r="AC251" s="36"/>
      <c r="AD251" s="36"/>
      <c r="AE251" s="23"/>
      <c r="AF251" s="23"/>
      <c r="AG251" s="23"/>
      <c r="AH251" s="23"/>
      <c r="AI251" s="23"/>
      <c r="AJ251" s="36"/>
      <c r="AK251" s="23"/>
    </row>
    <row r="252" spans="1:37" hidden="1" x14ac:dyDescent="0.3">
      <c r="B252" s="23" t="s">
        <v>701</v>
      </c>
      <c r="C252" s="34"/>
      <c r="D252" s="23"/>
      <c r="E252" s="23"/>
      <c r="F252" s="23"/>
      <c r="G252" s="35"/>
      <c r="H252" s="36"/>
      <c r="I252" s="36"/>
      <c r="J252" s="35"/>
      <c r="K252" s="35"/>
      <c r="L252" s="30" t="s">
        <v>71</v>
      </c>
      <c r="M252" s="30" t="s">
        <v>862</v>
      </c>
      <c r="N252" s="44"/>
      <c r="O252" s="24" t="s">
        <v>704</v>
      </c>
      <c r="P252" s="23"/>
      <c r="Q252" s="30" t="s">
        <v>69</v>
      </c>
      <c r="R252" s="45">
        <v>36831</v>
      </c>
      <c r="S252" s="46">
        <v>37377</v>
      </c>
      <c r="T252" s="39">
        <v>19</v>
      </c>
      <c r="U252" s="40">
        <v>0</v>
      </c>
      <c r="V252" s="40">
        <v>0</v>
      </c>
      <c r="W252" s="40"/>
      <c r="X252" s="23"/>
      <c r="Y252" s="23"/>
      <c r="Z252" s="23"/>
      <c r="AA252" s="23"/>
      <c r="AB252" s="23"/>
      <c r="AC252" s="36"/>
      <c r="AD252" s="36"/>
      <c r="AE252" s="23"/>
      <c r="AF252" s="23"/>
      <c r="AG252" s="23"/>
      <c r="AH252" s="23"/>
      <c r="AI252" s="23"/>
      <c r="AJ252" s="36"/>
      <c r="AK252" s="23"/>
    </row>
    <row r="253" spans="1:37" ht="33" hidden="1" x14ac:dyDescent="0.3">
      <c r="B253" s="23" t="s">
        <v>701</v>
      </c>
      <c r="C253" s="34"/>
      <c r="D253" s="23"/>
      <c r="E253" s="23"/>
      <c r="F253" s="23"/>
      <c r="G253" s="35"/>
      <c r="H253" s="36"/>
      <c r="I253" s="36"/>
      <c r="J253" s="35"/>
      <c r="K253" s="35"/>
      <c r="L253" s="30" t="s">
        <v>71</v>
      </c>
      <c r="M253" s="30" t="s">
        <v>863</v>
      </c>
      <c r="N253" s="24"/>
      <c r="O253" s="24" t="s">
        <v>705</v>
      </c>
      <c r="P253" s="23"/>
      <c r="Q253" s="30" t="s">
        <v>243</v>
      </c>
      <c r="R253" s="45">
        <v>35947</v>
      </c>
      <c r="S253" s="46">
        <v>36800</v>
      </c>
      <c r="T253" s="39">
        <v>29</v>
      </c>
      <c r="U253" s="40">
        <v>0</v>
      </c>
      <c r="V253" s="40">
        <v>0</v>
      </c>
      <c r="W253" s="40"/>
      <c r="X253" s="23"/>
      <c r="Y253" s="23"/>
      <c r="Z253" s="23"/>
      <c r="AA253" s="23"/>
      <c r="AB253" s="23"/>
      <c r="AC253" s="36"/>
      <c r="AD253" s="36"/>
      <c r="AE253" s="23"/>
      <c r="AF253" s="23"/>
      <c r="AG253" s="23"/>
      <c r="AH253" s="23"/>
      <c r="AI253" s="23"/>
      <c r="AJ253" s="36"/>
      <c r="AK253" s="23"/>
    </row>
    <row r="254" spans="1:37" ht="33" hidden="1" x14ac:dyDescent="0.3">
      <c r="B254" s="23" t="s">
        <v>706</v>
      </c>
      <c r="C254" s="34"/>
      <c r="D254" s="23"/>
      <c r="E254" s="23"/>
      <c r="F254" s="23"/>
      <c r="G254" s="35"/>
      <c r="H254" s="36"/>
      <c r="I254" s="36"/>
      <c r="J254" s="35"/>
      <c r="K254" s="35"/>
      <c r="L254" s="30" t="s">
        <v>71</v>
      </c>
      <c r="M254" s="30" t="s">
        <v>244</v>
      </c>
      <c r="N254" s="24"/>
      <c r="O254" s="24" t="s">
        <v>30</v>
      </c>
      <c r="P254" s="23"/>
      <c r="Q254" s="30" t="s">
        <v>245</v>
      </c>
      <c r="R254" s="45">
        <v>34243</v>
      </c>
      <c r="S254" s="46">
        <v>35916</v>
      </c>
      <c r="T254" s="39">
        <v>56</v>
      </c>
      <c r="U254" s="40">
        <v>0</v>
      </c>
      <c r="V254" s="40">
        <v>0</v>
      </c>
      <c r="W254" s="40"/>
      <c r="X254" s="23"/>
      <c r="Y254" s="23"/>
      <c r="Z254" s="23"/>
      <c r="AA254" s="23"/>
      <c r="AB254" s="23"/>
      <c r="AC254" s="36"/>
      <c r="AD254" s="36"/>
      <c r="AE254" s="23"/>
      <c r="AF254" s="23"/>
      <c r="AG254" s="23"/>
      <c r="AH254" s="23"/>
      <c r="AI254" s="23"/>
      <c r="AJ254" s="36"/>
      <c r="AK254" s="23"/>
    </row>
    <row r="255" spans="1:37" ht="33" hidden="1" x14ac:dyDescent="0.3">
      <c r="B255" s="23" t="s">
        <v>701</v>
      </c>
      <c r="C255" s="34"/>
      <c r="D255" s="23"/>
      <c r="E255" s="23"/>
      <c r="F255" s="23"/>
      <c r="G255" s="35"/>
      <c r="H255" s="36"/>
      <c r="I255" s="36"/>
      <c r="J255" s="35"/>
      <c r="K255" s="35"/>
      <c r="L255" s="30" t="s">
        <v>71</v>
      </c>
      <c r="M255" s="30" t="s">
        <v>246</v>
      </c>
      <c r="N255" s="25"/>
      <c r="O255" s="24" t="s">
        <v>707</v>
      </c>
      <c r="P255" s="23"/>
      <c r="Q255" s="30" t="s">
        <v>247</v>
      </c>
      <c r="R255" s="45">
        <v>33147</v>
      </c>
      <c r="S255" s="46">
        <v>34213</v>
      </c>
      <c r="T255" s="39">
        <v>36</v>
      </c>
      <c r="U255" s="40">
        <v>0</v>
      </c>
      <c r="V255" s="40">
        <v>0</v>
      </c>
      <c r="W255" s="40"/>
      <c r="X255" s="23"/>
      <c r="Y255" s="23"/>
      <c r="Z255" s="23"/>
      <c r="AA255" s="23"/>
      <c r="AB255" s="23"/>
      <c r="AC255" s="36"/>
      <c r="AD255" s="36"/>
      <c r="AE255" s="23"/>
      <c r="AF255" s="23"/>
      <c r="AG255" s="23"/>
      <c r="AH255" s="23"/>
      <c r="AI255" s="23"/>
      <c r="AJ255" s="36"/>
      <c r="AK255" s="23"/>
    </row>
    <row r="256" spans="1:37" hidden="1" x14ac:dyDescent="0.3">
      <c r="B256" s="23" t="s">
        <v>701</v>
      </c>
      <c r="C256" s="34"/>
      <c r="D256" s="23"/>
      <c r="E256" s="23"/>
      <c r="F256" s="23"/>
      <c r="G256" s="35"/>
      <c r="H256" s="36"/>
      <c r="I256" s="36"/>
      <c r="J256" s="35"/>
      <c r="K256" s="35"/>
      <c r="L256" s="30" t="s">
        <v>71</v>
      </c>
      <c r="M256" s="30" t="s">
        <v>248</v>
      </c>
      <c r="N256" s="24"/>
      <c r="O256" s="27"/>
      <c r="P256" s="23"/>
      <c r="Q256" s="30" t="s">
        <v>249</v>
      </c>
      <c r="R256" s="45">
        <v>31778</v>
      </c>
      <c r="S256" s="46">
        <v>33117</v>
      </c>
      <c r="T256" s="39">
        <v>45</v>
      </c>
      <c r="U256" s="40">
        <v>0</v>
      </c>
      <c r="V256" s="40">
        <v>0</v>
      </c>
      <c r="W256" s="40"/>
      <c r="X256" s="23"/>
      <c r="Y256" s="23"/>
      <c r="Z256" s="23"/>
      <c r="AA256" s="23"/>
      <c r="AB256" s="23"/>
      <c r="AC256" s="36"/>
      <c r="AD256" s="36"/>
      <c r="AE256" s="23"/>
      <c r="AF256" s="23"/>
      <c r="AG256" s="23"/>
      <c r="AH256" s="23"/>
      <c r="AI256" s="23"/>
      <c r="AJ256" s="36"/>
      <c r="AK256" s="23"/>
    </row>
    <row r="257" spans="1:37" hidden="1" x14ac:dyDescent="0.3">
      <c r="B257" s="23"/>
      <c r="C257" s="34"/>
      <c r="D257" s="23"/>
      <c r="E257" s="23"/>
      <c r="F257" s="23"/>
      <c r="G257" s="35"/>
      <c r="H257" s="36"/>
      <c r="I257" s="36"/>
      <c r="J257" s="35"/>
      <c r="K257" s="35"/>
      <c r="L257" s="30"/>
      <c r="M257" s="30"/>
      <c r="N257" s="24"/>
      <c r="O257" s="27"/>
      <c r="P257" s="23"/>
      <c r="Q257" s="30"/>
      <c r="R257" s="45"/>
      <c r="S257" s="46"/>
      <c r="T257" s="39"/>
      <c r="U257" s="40"/>
      <c r="V257" s="40"/>
      <c r="W257" s="40"/>
      <c r="X257" s="23"/>
      <c r="Y257" s="23"/>
      <c r="Z257" s="23"/>
      <c r="AA257" s="23"/>
      <c r="AB257" s="23"/>
      <c r="AC257" s="36"/>
      <c r="AD257" s="36"/>
      <c r="AE257" s="23"/>
      <c r="AF257" s="23"/>
      <c r="AG257" s="23"/>
      <c r="AH257" s="23"/>
      <c r="AI257" s="23"/>
      <c r="AJ257" s="36"/>
      <c r="AK257" s="23"/>
    </row>
    <row r="258" spans="1:37" x14ac:dyDescent="0.3">
      <c r="A258">
        <v>16</v>
      </c>
      <c r="B258" s="23" t="s">
        <v>708</v>
      </c>
      <c r="C258" s="34">
        <v>24055</v>
      </c>
      <c r="D258" s="23" t="s">
        <v>663</v>
      </c>
      <c r="E258" s="23" t="s">
        <v>709</v>
      </c>
      <c r="F258" s="23" t="s">
        <v>665</v>
      </c>
      <c r="G258" s="35">
        <v>44252</v>
      </c>
      <c r="H258" s="43">
        <v>1.8333333333333333</v>
      </c>
      <c r="I258" s="36" t="s">
        <v>710</v>
      </c>
      <c r="J258" s="35">
        <v>43840</v>
      </c>
      <c r="K258" s="35" t="s">
        <v>855</v>
      </c>
      <c r="L258" s="23" t="s">
        <v>640</v>
      </c>
      <c r="M258" s="23" t="s">
        <v>250</v>
      </c>
      <c r="N258" s="25"/>
      <c r="O258" s="24" t="s">
        <v>673</v>
      </c>
      <c r="P258" s="23" t="s">
        <v>66</v>
      </c>
      <c r="Q258" s="32" t="s">
        <v>251</v>
      </c>
      <c r="R258" s="31">
        <v>42005</v>
      </c>
      <c r="S258" s="31">
        <v>43344</v>
      </c>
      <c r="T258" s="39">
        <v>45</v>
      </c>
      <c r="U258" s="40">
        <v>0</v>
      </c>
      <c r="V258" s="40">
        <v>2</v>
      </c>
      <c r="W258" s="40"/>
      <c r="X258" s="23">
        <v>8</v>
      </c>
      <c r="Y258" s="23">
        <v>4</v>
      </c>
      <c r="Z258" s="23"/>
      <c r="AA258" s="23" t="s">
        <v>669</v>
      </c>
      <c r="AB258" s="23" t="s">
        <v>85</v>
      </c>
      <c r="AC258" s="36">
        <v>20.75</v>
      </c>
      <c r="AD258" s="36">
        <v>0</v>
      </c>
      <c r="AE258" s="23">
        <v>0</v>
      </c>
      <c r="AF258" s="23">
        <v>0</v>
      </c>
      <c r="AG258" s="23">
        <v>12</v>
      </c>
      <c r="AH258" s="23">
        <v>0</v>
      </c>
      <c r="AI258" s="23">
        <v>14.17</v>
      </c>
      <c r="AJ258" s="36">
        <v>0</v>
      </c>
      <c r="AK258" s="23">
        <v>0</v>
      </c>
    </row>
    <row r="259" spans="1:37" ht="33" hidden="1" x14ac:dyDescent="0.3">
      <c r="B259" s="23" t="s">
        <v>269</v>
      </c>
      <c r="C259" s="34"/>
      <c r="D259" s="23"/>
      <c r="E259" s="23"/>
      <c r="F259" s="23"/>
      <c r="G259" s="35"/>
      <c r="H259" s="36"/>
      <c r="I259" s="36"/>
      <c r="J259" s="35"/>
      <c r="K259" s="35"/>
      <c r="L259" s="23" t="s">
        <v>640</v>
      </c>
      <c r="M259" s="32" t="s">
        <v>252</v>
      </c>
      <c r="N259" s="24"/>
      <c r="O259" s="24" t="s">
        <v>711</v>
      </c>
      <c r="P259" s="23" t="s">
        <v>66</v>
      </c>
      <c r="Q259" s="23" t="s">
        <v>251</v>
      </c>
      <c r="R259" s="31">
        <v>41275</v>
      </c>
      <c r="S259" s="31">
        <v>41913</v>
      </c>
      <c r="T259" s="39">
        <v>22</v>
      </c>
      <c r="U259" s="40">
        <v>0</v>
      </c>
      <c r="V259" s="40">
        <v>0</v>
      </c>
      <c r="W259" s="40"/>
      <c r="X259" s="23"/>
      <c r="Y259" s="23"/>
      <c r="Z259" s="23"/>
      <c r="AA259" s="23"/>
      <c r="AB259" s="23"/>
      <c r="AC259" s="36"/>
      <c r="AD259" s="36"/>
      <c r="AE259" s="23"/>
      <c r="AF259" s="23"/>
      <c r="AG259" s="23"/>
      <c r="AH259" s="23"/>
      <c r="AI259" s="23"/>
      <c r="AJ259" s="36"/>
      <c r="AK259" s="23"/>
    </row>
    <row r="260" spans="1:37" hidden="1" x14ac:dyDescent="0.3">
      <c r="B260" s="23" t="s">
        <v>712</v>
      </c>
      <c r="C260" s="34"/>
      <c r="D260" s="23"/>
      <c r="E260" s="23"/>
      <c r="F260" s="23"/>
      <c r="G260" s="35"/>
      <c r="H260" s="36"/>
      <c r="I260" s="36"/>
      <c r="J260" s="35"/>
      <c r="K260" s="35"/>
      <c r="L260" s="30" t="s">
        <v>640</v>
      </c>
      <c r="M260" s="30" t="s">
        <v>254</v>
      </c>
      <c r="N260" s="24"/>
      <c r="O260" s="24" t="s">
        <v>704</v>
      </c>
      <c r="P260" s="23" t="s">
        <v>186</v>
      </c>
      <c r="Q260" s="30" t="s">
        <v>251</v>
      </c>
      <c r="R260" s="31">
        <v>40909</v>
      </c>
      <c r="S260" s="47">
        <v>41244</v>
      </c>
      <c r="T260" s="39">
        <v>12</v>
      </c>
      <c r="U260" s="40">
        <v>0</v>
      </c>
      <c r="V260" s="40">
        <v>0</v>
      </c>
      <c r="W260" s="40"/>
      <c r="X260" s="23"/>
      <c r="Y260" s="23"/>
      <c r="Z260" s="23"/>
      <c r="AA260" s="23"/>
      <c r="AB260" s="23"/>
      <c r="AC260" s="36"/>
      <c r="AD260" s="36"/>
      <c r="AE260" s="23"/>
      <c r="AF260" s="23"/>
      <c r="AG260" s="23"/>
      <c r="AH260" s="23"/>
      <c r="AI260" s="23"/>
      <c r="AJ260" s="36"/>
      <c r="AK260" s="23"/>
    </row>
    <row r="261" spans="1:37" hidden="1" x14ac:dyDescent="0.3">
      <c r="B261" s="23" t="s">
        <v>708</v>
      </c>
      <c r="C261" s="34"/>
      <c r="D261" s="23"/>
      <c r="E261" s="23"/>
      <c r="F261" s="23"/>
      <c r="G261" s="35"/>
      <c r="H261" s="36"/>
      <c r="I261" s="36"/>
      <c r="J261" s="35"/>
      <c r="K261" s="35"/>
      <c r="L261" s="30" t="s">
        <v>640</v>
      </c>
      <c r="M261" s="32" t="s">
        <v>255</v>
      </c>
      <c r="N261" s="24"/>
      <c r="O261" s="24" t="s">
        <v>704</v>
      </c>
      <c r="P261" s="23" t="s">
        <v>186</v>
      </c>
      <c r="Q261" s="30" t="s">
        <v>251</v>
      </c>
      <c r="R261" s="31">
        <v>40575</v>
      </c>
      <c r="S261" s="47">
        <v>40878</v>
      </c>
      <c r="T261" s="39">
        <v>11</v>
      </c>
      <c r="U261" s="40">
        <v>0</v>
      </c>
      <c r="V261" s="40">
        <v>0</v>
      </c>
      <c r="W261" s="40"/>
      <c r="X261" s="23"/>
      <c r="Y261" s="23"/>
      <c r="Z261" s="23"/>
      <c r="AA261" s="23"/>
      <c r="AB261" s="23"/>
      <c r="AC261" s="36"/>
      <c r="AD261" s="36"/>
      <c r="AE261" s="23"/>
      <c r="AF261" s="23"/>
      <c r="AG261" s="23"/>
      <c r="AH261" s="23"/>
      <c r="AI261" s="23"/>
      <c r="AJ261" s="36"/>
      <c r="AK261" s="23"/>
    </row>
    <row r="262" spans="1:37" ht="33" hidden="1" x14ac:dyDescent="0.3">
      <c r="B262" s="23" t="s">
        <v>708</v>
      </c>
      <c r="C262" s="34"/>
      <c r="D262" s="23"/>
      <c r="E262" s="23"/>
      <c r="F262" s="23"/>
      <c r="G262" s="35"/>
      <c r="H262" s="36"/>
      <c r="I262" s="36"/>
      <c r="J262" s="35"/>
      <c r="K262" s="35"/>
      <c r="L262" s="30" t="s">
        <v>640</v>
      </c>
      <c r="M262" s="30" t="s">
        <v>257</v>
      </c>
      <c r="N262" s="44"/>
      <c r="O262" s="24" t="s">
        <v>673</v>
      </c>
      <c r="P262" s="23" t="s">
        <v>66</v>
      </c>
      <c r="Q262" s="30" t="s">
        <v>258</v>
      </c>
      <c r="R262" s="31">
        <v>40179</v>
      </c>
      <c r="S262" s="47">
        <v>40544</v>
      </c>
      <c r="T262" s="39">
        <v>13</v>
      </c>
      <c r="U262" s="40">
        <v>0</v>
      </c>
      <c r="V262" s="40">
        <v>0</v>
      </c>
      <c r="W262" s="40"/>
      <c r="X262" s="23"/>
      <c r="Y262" s="23"/>
      <c r="Z262" s="23"/>
      <c r="AA262" s="23"/>
      <c r="AB262" s="23"/>
      <c r="AC262" s="36"/>
      <c r="AD262" s="36"/>
      <c r="AE262" s="23"/>
      <c r="AF262" s="23"/>
      <c r="AG262" s="23"/>
      <c r="AH262" s="23"/>
      <c r="AI262" s="23"/>
      <c r="AJ262" s="36"/>
      <c r="AK262" s="23"/>
    </row>
    <row r="263" spans="1:37" ht="33" hidden="1" x14ac:dyDescent="0.3">
      <c r="B263" s="23" t="s">
        <v>712</v>
      </c>
      <c r="C263" s="34"/>
      <c r="D263" s="23"/>
      <c r="E263" s="23"/>
      <c r="F263" s="23"/>
      <c r="G263" s="35"/>
      <c r="H263" s="36"/>
      <c r="I263" s="36"/>
      <c r="J263" s="35"/>
      <c r="K263" s="35"/>
      <c r="L263" s="30" t="s">
        <v>640</v>
      </c>
      <c r="M263" s="30" t="s">
        <v>259</v>
      </c>
      <c r="N263" s="25"/>
      <c r="O263" s="24" t="s">
        <v>711</v>
      </c>
      <c r="P263" s="23" t="s">
        <v>186</v>
      </c>
      <c r="Q263" s="30" t="s">
        <v>258</v>
      </c>
      <c r="R263" s="31">
        <v>39873</v>
      </c>
      <c r="S263" s="47">
        <v>40148</v>
      </c>
      <c r="T263" s="39">
        <v>10</v>
      </c>
      <c r="U263" s="40">
        <v>0</v>
      </c>
      <c r="V263" s="40">
        <v>4</v>
      </c>
      <c r="W263" s="40"/>
      <c r="X263" s="23"/>
      <c r="Y263" s="23"/>
      <c r="Z263" s="23"/>
      <c r="AA263" s="23"/>
      <c r="AB263" s="23"/>
      <c r="AC263" s="36"/>
      <c r="AD263" s="36"/>
      <c r="AE263" s="23"/>
      <c r="AF263" s="23"/>
      <c r="AG263" s="23"/>
      <c r="AH263" s="23"/>
      <c r="AI263" s="23"/>
      <c r="AJ263" s="36"/>
      <c r="AK263" s="23"/>
    </row>
    <row r="264" spans="1:37" ht="33" hidden="1" x14ac:dyDescent="0.3">
      <c r="B264" s="23" t="s">
        <v>708</v>
      </c>
      <c r="C264" s="34"/>
      <c r="D264" s="23"/>
      <c r="E264" s="23"/>
      <c r="F264" s="23"/>
      <c r="G264" s="35"/>
      <c r="H264" s="36"/>
      <c r="I264" s="36"/>
      <c r="J264" s="35"/>
      <c r="K264" s="35"/>
      <c r="L264" s="30" t="s">
        <v>640</v>
      </c>
      <c r="M264" s="30" t="s">
        <v>260</v>
      </c>
      <c r="N264" s="24"/>
      <c r="O264" s="24" t="s">
        <v>704</v>
      </c>
      <c r="P264" s="23" t="s">
        <v>186</v>
      </c>
      <c r="Q264" s="30" t="s">
        <v>251</v>
      </c>
      <c r="R264" s="31">
        <v>39479</v>
      </c>
      <c r="S264" s="47">
        <v>39722</v>
      </c>
      <c r="T264" s="39">
        <v>9</v>
      </c>
      <c r="U264" s="40">
        <v>0</v>
      </c>
      <c r="V264" s="40">
        <v>0</v>
      </c>
      <c r="W264" s="40"/>
      <c r="X264" s="23"/>
      <c r="Y264" s="23"/>
      <c r="Z264" s="23"/>
      <c r="AA264" s="23"/>
      <c r="AB264" s="23"/>
      <c r="AC264" s="36"/>
      <c r="AD264" s="36"/>
      <c r="AE264" s="23"/>
      <c r="AF264" s="23"/>
      <c r="AG264" s="23"/>
      <c r="AH264" s="23"/>
      <c r="AI264" s="23"/>
      <c r="AJ264" s="36"/>
      <c r="AK264" s="23"/>
    </row>
    <row r="265" spans="1:37" ht="33" hidden="1" x14ac:dyDescent="0.3">
      <c r="B265" s="23" t="s">
        <v>708</v>
      </c>
      <c r="C265" s="34"/>
      <c r="D265" s="23"/>
      <c r="E265" s="23"/>
      <c r="F265" s="23"/>
      <c r="G265" s="35"/>
      <c r="H265" s="36"/>
      <c r="I265" s="36"/>
      <c r="J265" s="35"/>
      <c r="K265" s="35"/>
      <c r="L265" s="30" t="s">
        <v>640</v>
      </c>
      <c r="M265" s="30" t="s">
        <v>261</v>
      </c>
      <c r="N265" s="24"/>
      <c r="O265" s="24" t="s">
        <v>704</v>
      </c>
      <c r="P265" s="23" t="s">
        <v>66</v>
      </c>
      <c r="Q265" s="30" t="s">
        <v>258</v>
      </c>
      <c r="R265" s="31">
        <v>39083</v>
      </c>
      <c r="S265" s="47">
        <v>39448</v>
      </c>
      <c r="T265" s="39">
        <v>13</v>
      </c>
      <c r="U265" s="40">
        <v>0</v>
      </c>
      <c r="V265" s="40">
        <v>0</v>
      </c>
      <c r="W265" s="40"/>
      <c r="X265" s="23"/>
      <c r="Y265" s="23"/>
      <c r="Z265" s="23"/>
      <c r="AA265" s="23"/>
      <c r="AB265" s="23"/>
      <c r="AC265" s="36"/>
      <c r="AD265" s="36"/>
      <c r="AE265" s="23"/>
      <c r="AF265" s="23"/>
      <c r="AG265" s="23"/>
      <c r="AH265" s="23"/>
      <c r="AI265" s="23"/>
      <c r="AJ265" s="36"/>
      <c r="AK265" s="23"/>
    </row>
    <row r="266" spans="1:37" hidden="1" x14ac:dyDescent="0.3">
      <c r="B266" s="23" t="s">
        <v>708</v>
      </c>
      <c r="C266" s="34"/>
      <c r="D266" s="23"/>
      <c r="E266" s="23"/>
      <c r="F266" s="23"/>
      <c r="G266" s="35"/>
      <c r="H266" s="36"/>
      <c r="I266" s="36"/>
      <c r="J266" s="35"/>
      <c r="K266" s="35"/>
      <c r="L266" s="30" t="s">
        <v>640</v>
      </c>
      <c r="M266" s="30" t="s">
        <v>262</v>
      </c>
      <c r="N266" s="44"/>
      <c r="O266" s="24" t="s">
        <v>673</v>
      </c>
      <c r="P266" s="23" t="s">
        <v>186</v>
      </c>
      <c r="Q266" s="30" t="s">
        <v>251</v>
      </c>
      <c r="R266" s="31">
        <v>38838</v>
      </c>
      <c r="S266" s="47">
        <v>39052</v>
      </c>
      <c r="T266" s="39">
        <v>8</v>
      </c>
      <c r="U266" s="40">
        <v>0</v>
      </c>
      <c r="V266" s="40">
        <v>0</v>
      </c>
      <c r="W266" s="40"/>
      <c r="X266" s="23"/>
      <c r="Y266" s="23"/>
      <c r="Z266" s="23"/>
      <c r="AA266" s="23"/>
      <c r="AB266" s="23"/>
      <c r="AC266" s="36"/>
      <c r="AD266" s="36"/>
      <c r="AE266" s="23"/>
      <c r="AF266" s="23"/>
      <c r="AG266" s="23"/>
      <c r="AH266" s="23"/>
      <c r="AI266" s="23"/>
      <c r="AJ266" s="36"/>
      <c r="AK266" s="23"/>
    </row>
    <row r="267" spans="1:37" hidden="1" x14ac:dyDescent="0.3">
      <c r="B267" s="23" t="s">
        <v>708</v>
      </c>
      <c r="C267" s="34"/>
      <c r="D267" s="23"/>
      <c r="E267" s="23"/>
      <c r="F267" s="23"/>
      <c r="G267" s="35"/>
      <c r="H267" s="36"/>
      <c r="I267" s="36"/>
      <c r="J267" s="35"/>
      <c r="K267" s="35"/>
      <c r="L267" s="30" t="s">
        <v>640</v>
      </c>
      <c r="M267" s="30" t="s">
        <v>263</v>
      </c>
      <c r="N267" s="24"/>
      <c r="O267" s="24" t="s">
        <v>673</v>
      </c>
      <c r="P267" s="23" t="s">
        <v>186</v>
      </c>
      <c r="Q267" s="30" t="s">
        <v>251</v>
      </c>
      <c r="R267" s="31">
        <v>38687</v>
      </c>
      <c r="S267" s="47">
        <v>38808</v>
      </c>
      <c r="T267" s="39">
        <v>5</v>
      </c>
      <c r="U267" s="40">
        <v>0</v>
      </c>
      <c r="V267" s="40">
        <v>4</v>
      </c>
      <c r="W267" s="40"/>
      <c r="X267" s="23"/>
      <c r="Y267" s="23"/>
      <c r="Z267" s="23"/>
      <c r="AA267" s="23"/>
      <c r="AB267" s="23"/>
      <c r="AC267" s="36"/>
      <c r="AD267" s="36"/>
      <c r="AE267" s="23"/>
      <c r="AF267" s="23"/>
      <c r="AG267" s="23"/>
      <c r="AH267" s="23"/>
      <c r="AI267" s="23"/>
      <c r="AJ267" s="36"/>
      <c r="AK267" s="23"/>
    </row>
    <row r="268" spans="1:37" hidden="1" x14ac:dyDescent="0.3">
      <c r="B268" s="23" t="s">
        <v>708</v>
      </c>
      <c r="C268" s="34"/>
      <c r="D268" s="23"/>
      <c r="E268" s="23"/>
      <c r="F268" s="23"/>
      <c r="G268" s="35"/>
      <c r="H268" s="36"/>
      <c r="I268" s="36"/>
      <c r="J268" s="35"/>
      <c r="K268" s="35"/>
      <c r="L268" s="30" t="s">
        <v>640</v>
      </c>
      <c r="M268" s="30" t="s">
        <v>264</v>
      </c>
      <c r="N268" s="24"/>
      <c r="O268" s="24" t="s">
        <v>673</v>
      </c>
      <c r="P268" s="23" t="s">
        <v>186</v>
      </c>
      <c r="Q268" s="30" t="s">
        <v>265</v>
      </c>
      <c r="R268" s="31">
        <v>38322</v>
      </c>
      <c r="S268" s="47">
        <v>38534</v>
      </c>
      <c r="T268" s="39">
        <v>8</v>
      </c>
      <c r="U268" s="40">
        <v>0</v>
      </c>
      <c r="V268" s="40">
        <v>1</v>
      </c>
      <c r="W268" s="40"/>
      <c r="X268" s="23"/>
      <c r="Y268" s="23"/>
      <c r="Z268" s="23"/>
      <c r="AA268" s="23"/>
      <c r="AB268" s="23"/>
      <c r="AC268" s="36"/>
      <c r="AD268" s="36"/>
      <c r="AE268" s="23"/>
      <c r="AF268" s="23"/>
      <c r="AG268" s="23"/>
      <c r="AH268" s="23"/>
      <c r="AI268" s="23"/>
      <c r="AJ268" s="36"/>
      <c r="AK268" s="23"/>
    </row>
    <row r="269" spans="1:37" hidden="1" x14ac:dyDescent="0.3">
      <c r="B269" s="23" t="s">
        <v>708</v>
      </c>
      <c r="C269" s="34"/>
      <c r="D269" s="23"/>
      <c r="E269" s="23"/>
      <c r="F269" s="23"/>
      <c r="G269" s="35"/>
      <c r="H269" s="36"/>
      <c r="I269" s="36"/>
      <c r="J269" s="35"/>
      <c r="K269" s="35"/>
      <c r="L269" s="30" t="s">
        <v>640</v>
      </c>
      <c r="M269" s="30" t="s">
        <v>266</v>
      </c>
      <c r="N269" s="25"/>
      <c r="O269" s="24" t="s">
        <v>705</v>
      </c>
      <c r="P269" s="23" t="s">
        <v>186</v>
      </c>
      <c r="Q269" s="30" t="s">
        <v>267</v>
      </c>
      <c r="R269" s="31">
        <v>37347</v>
      </c>
      <c r="S269" s="47">
        <v>38261</v>
      </c>
      <c r="T269" s="39">
        <v>31</v>
      </c>
      <c r="U269" s="40">
        <v>0</v>
      </c>
      <c r="V269" s="40">
        <v>5</v>
      </c>
      <c r="W269" s="40"/>
      <c r="X269" s="23"/>
      <c r="Y269" s="23"/>
      <c r="Z269" s="23"/>
      <c r="AA269" s="23"/>
      <c r="AB269" s="23"/>
      <c r="AC269" s="36"/>
      <c r="AD269" s="36"/>
      <c r="AE269" s="23"/>
      <c r="AF269" s="23"/>
      <c r="AG269" s="23"/>
      <c r="AH269" s="23"/>
      <c r="AI269" s="23"/>
      <c r="AJ269" s="36"/>
      <c r="AK269" s="23"/>
    </row>
    <row r="270" spans="1:37" hidden="1" x14ac:dyDescent="0.3">
      <c r="B270" s="23" t="s">
        <v>708</v>
      </c>
      <c r="C270" s="34"/>
      <c r="D270" s="23"/>
      <c r="E270" s="23"/>
      <c r="F270" s="23"/>
      <c r="G270" s="35"/>
      <c r="H270" s="36"/>
      <c r="I270" s="36"/>
      <c r="J270" s="35"/>
      <c r="K270" s="35"/>
      <c r="L270" s="30" t="s">
        <v>253</v>
      </c>
      <c r="M270" s="30" t="s">
        <v>268</v>
      </c>
      <c r="N270" s="24"/>
      <c r="O270" s="27" t="s">
        <v>53</v>
      </c>
      <c r="P270" s="23" t="s">
        <v>186</v>
      </c>
      <c r="Q270" s="30" t="s">
        <v>265</v>
      </c>
      <c r="R270" s="31">
        <v>36982</v>
      </c>
      <c r="S270" s="47">
        <v>37165</v>
      </c>
      <c r="T270" s="39">
        <v>7</v>
      </c>
      <c r="U270" s="40">
        <v>1</v>
      </c>
      <c r="V270" s="40">
        <v>0</v>
      </c>
      <c r="W270" s="40"/>
      <c r="X270" s="23"/>
      <c r="Y270" s="23"/>
      <c r="Z270" s="23"/>
      <c r="AA270" s="23"/>
      <c r="AB270" s="23"/>
      <c r="AC270" s="36"/>
      <c r="AD270" s="36"/>
      <c r="AE270" s="23"/>
      <c r="AF270" s="23"/>
      <c r="AG270" s="23"/>
      <c r="AH270" s="23"/>
      <c r="AI270" s="23"/>
      <c r="AJ270" s="36"/>
      <c r="AK270" s="23"/>
    </row>
    <row r="271" spans="1:37" ht="49.5" hidden="1" x14ac:dyDescent="0.3">
      <c r="B271" s="23" t="s">
        <v>708</v>
      </c>
      <c r="C271" s="34"/>
      <c r="D271" s="23"/>
      <c r="E271" s="23"/>
      <c r="F271" s="23"/>
      <c r="G271" s="35"/>
      <c r="H271" s="36"/>
      <c r="I271" s="36"/>
      <c r="J271" s="35"/>
      <c r="K271" s="35"/>
      <c r="L271" s="27" t="s">
        <v>640</v>
      </c>
      <c r="M271" s="27" t="s">
        <v>270</v>
      </c>
      <c r="N271" s="24"/>
      <c r="O271" s="27" t="s">
        <v>44</v>
      </c>
      <c r="P271" s="23" t="s">
        <v>186</v>
      </c>
      <c r="Q271" s="23" t="s">
        <v>271</v>
      </c>
      <c r="R271" s="31">
        <v>36861</v>
      </c>
      <c r="S271" s="31">
        <v>36982</v>
      </c>
      <c r="T271" s="39">
        <v>5</v>
      </c>
      <c r="U271" s="40">
        <v>1</v>
      </c>
      <c r="V271" s="40">
        <v>0</v>
      </c>
      <c r="W271" s="40"/>
      <c r="X271" s="23"/>
      <c r="Y271" s="23"/>
      <c r="Z271" s="23"/>
      <c r="AA271" s="23"/>
      <c r="AB271" s="23"/>
      <c r="AC271" s="36"/>
      <c r="AD271" s="36"/>
      <c r="AE271" s="23"/>
      <c r="AF271" s="23"/>
      <c r="AG271" s="23"/>
      <c r="AH271" s="23"/>
      <c r="AI271" s="23"/>
      <c r="AJ271" s="36"/>
      <c r="AK271" s="23"/>
    </row>
    <row r="272" spans="1:37" hidden="1" x14ac:dyDescent="0.3">
      <c r="B272" s="23" t="s">
        <v>708</v>
      </c>
      <c r="C272" s="34"/>
      <c r="D272" s="23"/>
      <c r="E272" s="23"/>
      <c r="F272" s="23"/>
      <c r="G272" s="35"/>
      <c r="H272" s="36"/>
      <c r="I272" s="36"/>
      <c r="J272" s="35"/>
      <c r="K272" s="35"/>
      <c r="L272" s="27" t="s">
        <v>640</v>
      </c>
      <c r="M272" s="27" t="s">
        <v>272</v>
      </c>
      <c r="N272" s="24"/>
      <c r="O272" s="24" t="s">
        <v>673</v>
      </c>
      <c r="P272" s="23" t="s">
        <v>186</v>
      </c>
      <c r="Q272" s="23" t="s">
        <v>265</v>
      </c>
      <c r="R272" s="31">
        <v>36281</v>
      </c>
      <c r="S272" s="31">
        <v>36861</v>
      </c>
      <c r="T272" s="39">
        <v>20</v>
      </c>
      <c r="U272" s="40">
        <v>0</v>
      </c>
      <c r="V272" s="40">
        <v>4</v>
      </c>
      <c r="W272" s="40"/>
      <c r="X272" s="23"/>
      <c r="Y272" s="23"/>
      <c r="Z272" s="23"/>
      <c r="AA272" s="23"/>
      <c r="AB272" s="23"/>
      <c r="AC272" s="36"/>
      <c r="AD272" s="36"/>
      <c r="AE272" s="23"/>
      <c r="AF272" s="23"/>
      <c r="AG272" s="23"/>
      <c r="AH272" s="23"/>
      <c r="AI272" s="23"/>
      <c r="AJ272" s="36"/>
      <c r="AK272" s="23"/>
    </row>
    <row r="273" spans="1:37" hidden="1" x14ac:dyDescent="0.3">
      <c r="B273" s="23" t="s">
        <v>708</v>
      </c>
      <c r="C273" s="34"/>
      <c r="D273" s="23"/>
      <c r="E273" s="23"/>
      <c r="F273" s="23"/>
      <c r="G273" s="35"/>
      <c r="H273" s="36"/>
      <c r="I273" s="36"/>
      <c r="J273" s="35"/>
      <c r="K273" s="35"/>
      <c r="L273" s="24" t="s">
        <v>640</v>
      </c>
      <c r="M273" s="24" t="s">
        <v>273</v>
      </c>
      <c r="N273" s="44"/>
      <c r="O273" s="24" t="s">
        <v>704</v>
      </c>
      <c r="P273" s="23" t="s">
        <v>186</v>
      </c>
      <c r="Q273" s="23" t="s">
        <v>265</v>
      </c>
      <c r="R273" s="31">
        <v>36069</v>
      </c>
      <c r="S273" s="31">
        <v>36130</v>
      </c>
      <c r="T273" s="39">
        <v>3</v>
      </c>
      <c r="U273" s="40">
        <v>0</v>
      </c>
      <c r="V273" s="40">
        <v>0</v>
      </c>
      <c r="W273" s="40"/>
      <c r="X273" s="23"/>
      <c r="Y273" s="23"/>
      <c r="Z273" s="23"/>
      <c r="AA273" s="23"/>
      <c r="AB273" s="23"/>
      <c r="AC273" s="36"/>
      <c r="AD273" s="36"/>
      <c r="AE273" s="23"/>
      <c r="AF273" s="23"/>
      <c r="AG273" s="23"/>
      <c r="AH273" s="23"/>
      <c r="AI273" s="23"/>
      <c r="AJ273" s="36"/>
      <c r="AK273" s="23"/>
    </row>
    <row r="274" spans="1:37" hidden="1" x14ac:dyDescent="0.3">
      <c r="B274" s="23" t="s">
        <v>708</v>
      </c>
      <c r="C274" s="34"/>
      <c r="D274" s="23"/>
      <c r="E274" s="23"/>
      <c r="F274" s="23"/>
      <c r="G274" s="35"/>
      <c r="H274" s="36"/>
      <c r="I274" s="36"/>
      <c r="J274" s="35"/>
      <c r="K274" s="35"/>
      <c r="L274" s="24" t="s">
        <v>640</v>
      </c>
      <c r="M274" s="24" t="s">
        <v>274</v>
      </c>
      <c r="N274" s="44"/>
      <c r="O274" s="24" t="s">
        <v>30</v>
      </c>
      <c r="P274" s="23" t="s">
        <v>186</v>
      </c>
      <c r="Q274" s="23" t="s">
        <v>265</v>
      </c>
      <c r="R274" s="31">
        <v>35643</v>
      </c>
      <c r="S274" s="31">
        <v>36039</v>
      </c>
      <c r="T274" s="39">
        <v>14</v>
      </c>
      <c r="U274" s="40">
        <v>0</v>
      </c>
      <c r="V274" s="40">
        <v>8</v>
      </c>
      <c r="W274" s="40"/>
      <c r="X274" s="23"/>
      <c r="Y274" s="23"/>
      <c r="Z274" s="23"/>
      <c r="AA274" s="23"/>
      <c r="AB274" s="23"/>
      <c r="AC274" s="36"/>
      <c r="AD274" s="36"/>
      <c r="AE274" s="23"/>
      <c r="AF274" s="23"/>
      <c r="AG274" s="23"/>
      <c r="AH274" s="23"/>
      <c r="AI274" s="23"/>
      <c r="AJ274" s="36"/>
      <c r="AK274" s="23"/>
    </row>
    <row r="275" spans="1:37" ht="33" hidden="1" x14ac:dyDescent="0.3">
      <c r="B275" s="23" t="s">
        <v>708</v>
      </c>
      <c r="C275" s="34"/>
      <c r="D275" s="23"/>
      <c r="E275" s="23"/>
      <c r="F275" s="23"/>
      <c r="G275" s="35"/>
      <c r="H275" s="36"/>
      <c r="I275" s="36"/>
      <c r="J275" s="35"/>
      <c r="K275" s="35"/>
      <c r="L275" s="24" t="s">
        <v>640</v>
      </c>
      <c r="M275" s="24" t="s">
        <v>275</v>
      </c>
      <c r="N275" s="25"/>
      <c r="O275" s="24" t="s">
        <v>673</v>
      </c>
      <c r="P275" s="23" t="s">
        <v>186</v>
      </c>
      <c r="Q275" s="23" t="s">
        <v>265</v>
      </c>
      <c r="R275" s="31">
        <v>35004</v>
      </c>
      <c r="S275" s="31">
        <v>35370</v>
      </c>
      <c r="T275" s="39">
        <v>13</v>
      </c>
      <c r="U275" s="40">
        <v>0</v>
      </c>
      <c r="V275" s="40">
        <v>0</v>
      </c>
      <c r="W275" s="40"/>
      <c r="X275" s="23"/>
      <c r="Y275" s="23"/>
      <c r="Z275" s="23"/>
      <c r="AA275" s="23"/>
      <c r="AB275" s="23"/>
      <c r="AC275" s="36"/>
      <c r="AD275" s="36"/>
      <c r="AE275" s="23"/>
      <c r="AF275" s="23"/>
      <c r="AG275" s="23"/>
      <c r="AH275" s="23"/>
      <c r="AI275" s="23"/>
      <c r="AJ275" s="36"/>
      <c r="AK275" s="23"/>
    </row>
    <row r="276" spans="1:37" hidden="1" x14ac:dyDescent="0.3">
      <c r="B276" s="23"/>
      <c r="C276" s="34"/>
      <c r="D276" s="23"/>
      <c r="E276" s="23"/>
      <c r="F276" s="23"/>
      <c r="G276" s="35"/>
      <c r="H276" s="36"/>
      <c r="I276" s="36"/>
      <c r="J276" s="35"/>
      <c r="K276" s="35"/>
      <c r="L276" s="24"/>
      <c r="M276" s="24"/>
      <c r="N276" s="25"/>
      <c r="O276" s="24"/>
      <c r="P276" s="23"/>
      <c r="Q276" s="23"/>
      <c r="R276" s="31"/>
      <c r="S276" s="31"/>
      <c r="T276" s="39"/>
      <c r="U276" s="40"/>
      <c r="V276" s="40"/>
      <c r="W276" s="40"/>
      <c r="X276" s="23"/>
      <c r="Y276" s="23"/>
      <c r="Z276" s="23"/>
      <c r="AA276" s="23"/>
      <c r="AB276" s="23"/>
      <c r="AC276" s="36"/>
      <c r="AD276" s="36"/>
      <c r="AE276" s="23"/>
      <c r="AF276" s="23"/>
      <c r="AG276" s="23"/>
      <c r="AH276" s="23"/>
      <c r="AI276" s="23"/>
      <c r="AJ276" s="36"/>
      <c r="AK276" s="23"/>
    </row>
    <row r="277" spans="1:37" x14ac:dyDescent="0.3">
      <c r="A277">
        <v>17</v>
      </c>
      <c r="B277" s="23" t="s">
        <v>276</v>
      </c>
      <c r="C277" s="34">
        <v>21090</v>
      </c>
      <c r="D277" s="23" t="s">
        <v>713</v>
      </c>
      <c r="E277" s="23" t="s">
        <v>714</v>
      </c>
      <c r="F277" s="23" t="s">
        <v>715</v>
      </c>
      <c r="G277" s="35">
        <v>43416</v>
      </c>
      <c r="H277" s="43">
        <v>4.166666666666667</v>
      </c>
      <c r="I277" s="36" t="s">
        <v>716</v>
      </c>
      <c r="J277" s="35">
        <v>43363</v>
      </c>
      <c r="K277" s="35" t="s">
        <v>857</v>
      </c>
      <c r="L277" s="23" t="s">
        <v>717</v>
      </c>
      <c r="M277" s="23" t="s">
        <v>718</v>
      </c>
      <c r="N277" s="25"/>
      <c r="O277" s="24" t="s">
        <v>374</v>
      </c>
      <c r="P277" s="23"/>
      <c r="Q277" s="32" t="s">
        <v>719</v>
      </c>
      <c r="R277" s="31">
        <v>41334</v>
      </c>
      <c r="S277" s="31">
        <v>42675</v>
      </c>
      <c r="T277" s="39">
        <v>45</v>
      </c>
      <c r="U277" s="40">
        <v>0</v>
      </c>
      <c r="V277" s="40">
        <v>0</v>
      </c>
      <c r="W277" s="40"/>
      <c r="X277" s="23">
        <v>3</v>
      </c>
      <c r="Y277" s="23"/>
      <c r="Z277" s="23"/>
      <c r="AA277" s="23" t="s">
        <v>65</v>
      </c>
      <c r="AB277" s="23" t="s">
        <v>720</v>
      </c>
      <c r="AC277" s="36">
        <v>33.83</v>
      </c>
      <c r="AD277" s="36">
        <v>2.08</v>
      </c>
      <c r="AE277" s="23">
        <v>1</v>
      </c>
      <c r="AF277" s="23">
        <v>2</v>
      </c>
      <c r="AG277" s="23">
        <v>4</v>
      </c>
      <c r="AH277" s="23">
        <v>9.17</v>
      </c>
      <c r="AI277" s="23">
        <v>14.17</v>
      </c>
      <c r="AJ277" s="36">
        <v>16.75</v>
      </c>
      <c r="AK277" s="23">
        <v>5</v>
      </c>
    </row>
    <row r="278" spans="1:37" hidden="1" x14ac:dyDescent="0.3">
      <c r="B278" s="23" t="s">
        <v>276</v>
      </c>
      <c r="C278" s="34"/>
      <c r="D278" s="23"/>
      <c r="E278" s="23"/>
      <c r="F278" s="23"/>
      <c r="G278" s="35"/>
      <c r="H278" s="36"/>
      <c r="I278" s="36"/>
      <c r="J278" s="35"/>
      <c r="K278" s="35"/>
      <c r="L278" s="23" t="s">
        <v>721</v>
      </c>
      <c r="M278" s="32" t="s">
        <v>722</v>
      </c>
      <c r="N278" s="24"/>
      <c r="O278" s="24" t="s">
        <v>723</v>
      </c>
      <c r="P278" s="23"/>
      <c r="Q278" s="23" t="s">
        <v>719</v>
      </c>
      <c r="R278" s="31">
        <v>40179</v>
      </c>
      <c r="S278" s="31">
        <v>41306</v>
      </c>
      <c r="T278" s="39">
        <v>38</v>
      </c>
      <c r="U278" s="40">
        <v>0</v>
      </c>
      <c r="V278" s="40">
        <v>0</v>
      </c>
      <c r="W278" s="40"/>
      <c r="X278" s="23"/>
      <c r="Y278" s="23"/>
      <c r="Z278" s="23"/>
      <c r="AA278" s="23"/>
      <c r="AB278" s="23"/>
      <c r="AC278" s="36"/>
      <c r="AD278" s="36"/>
      <c r="AE278" s="23"/>
      <c r="AF278" s="23"/>
      <c r="AG278" s="23"/>
      <c r="AH278" s="23"/>
      <c r="AI278" s="23"/>
      <c r="AJ278" s="36"/>
      <c r="AK278" s="23"/>
    </row>
    <row r="279" spans="1:37" hidden="1" x14ac:dyDescent="0.3">
      <c r="B279" s="23" t="s">
        <v>276</v>
      </c>
      <c r="C279" s="34"/>
      <c r="D279" s="23"/>
      <c r="E279" s="23"/>
      <c r="F279" s="23"/>
      <c r="G279" s="35"/>
      <c r="H279" s="36"/>
      <c r="I279" s="36"/>
      <c r="J279" s="35"/>
      <c r="K279" s="35"/>
      <c r="L279" s="30" t="s">
        <v>717</v>
      </c>
      <c r="M279" s="30" t="s">
        <v>724</v>
      </c>
      <c r="N279" s="24"/>
      <c r="O279" s="24" t="s">
        <v>725</v>
      </c>
      <c r="P279" s="23"/>
      <c r="Q279" s="30" t="s">
        <v>719</v>
      </c>
      <c r="R279" s="31">
        <v>39965</v>
      </c>
      <c r="S279" s="47">
        <v>40148</v>
      </c>
      <c r="T279" s="39">
        <v>7</v>
      </c>
      <c r="U279" s="40">
        <v>0</v>
      </c>
      <c r="V279" s="40">
        <v>0</v>
      </c>
      <c r="W279" s="40"/>
      <c r="X279" s="23"/>
      <c r="Y279" s="23"/>
      <c r="Z279" s="23"/>
      <c r="AA279" s="23"/>
      <c r="AB279" s="23"/>
      <c r="AC279" s="36"/>
      <c r="AD279" s="36"/>
      <c r="AE279" s="23"/>
      <c r="AF279" s="23"/>
      <c r="AG279" s="23"/>
      <c r="AH279" s="23"/>
      <c r="AI279" s="23"/>
      <c r="AJ279" s="36"/>
      <c r="AK279" s="23"/>
    </row>
    <row r="280" spans="1:37" ht="33" hidden="1" x14ac:dyDescent="0.3">
      <c r="B280" s="23" t="s">
        <v>276</v>
      </c>
      <c r="C280" s="34"/>
      <c r="D280" s="23"/>
      <c r="E280" s="23"/>
      <c r="F280" s="23"/>
      <c r="G280" s="35"/>
      <c r="H280" s="36"/>
      <c r="I280" s="36"/>
      <c r="J280" s="35"/>
      <c r="K280" s="35"/>
      <c r="L280" s="30" t="s">
        <v>717</v>
      </c>
      <c r="M280" s="32" t="s">
        <v>726</v>
      </c>
      <c r="N280" s="24"/>
      <c r="O280" s="24" t="s">
        <v>725</v>
      </c>
      <c r="P280" s="23"/>
      <c r="Q280" s="30" t="s">
        <v>719</v>
      </c>
      <c r="R280" s="31">
        <v>39448</v>
      </c>
      <c r="S280" s="47">
        <v>39934</v>
      </c>
      <c r="T280" s="39">
        <v>17</v>
      </c>
      <c r="U280" s="40">
        <v>0</v>
      </c>
      <c r="V280" s="40">
        <v>0</v>
      </c>
      <c r="W280" s="40"/>
      <c r="X280" s="23"/>
      <c r="Y280" s="23"/>
      <c r="Z280" s="23"/>
      <c r="AA280" s="23"/>
      <c r="AB280" s="23"/>
      <c r="AC280" s="36"/>
      <c r="AD280" s="36"/>
      <c r="AE280" s="23"/>
      <c r="AF280" s="23"/>
      <c r="AG280" s="23"/>
      <c r="AH280" s="23"/>
      <c r="AI280" s="23"/>
      <c r="AJ280" s="36"/>
      <c r="AK280" s="23"/>
    </row>
    <row r="281" spans="1:37" hidden="1" x14ac:dyDescent="0.3">
      <c r="B281" s="23" t="s">
        <v>276</v>
      </c>
      <c r="C281" s="34"/>
      <c r="D281" s="23"/>
      <c r="E281" s="23"/>
      <c r="F281" s="23"/>
      <c r="G281" s="35"/>
      <c r="H281" s="36"/>
      <c r="I281" s="36"/>
      <c r="J281" s="35"/>
      <c r="K281" s="35"/>
      <c r="L281" s="30" t="s">
        <v>717</v>
      </c>
      <c r="M281" s="30" t="s">
        <v>727</v>
      </c>
      <c r="N281" s="44"/>
      <c r="O281" s="24" t="s">
        <v>725</v>
      </c>
      <c r="P281" s="23"/>
      <c r="Q281" s="30" t="s">
        <v>728</v>
      </c>
      <c r="R281" s="31">
        <v>38687</v>
      </c>
      <c r="S281" s="47">
        <v>39417</v>
      </c>
      <c r="T281" s="39">
        <v>25</v>
      </c>
      <c r="U281" s="40">
        <v>1</v>
      </c>
      <c r="V281" s="40">
        <v>0</v>
      </c>
      <c r="W281" s="40"/>
      <c r="X281" s="23"/>
      <c r="Y281" s="23"/>
      <c r="Z281" s="23"/>
      <c r="AA281" s="23"/>
      <c r="AB281" s="23"/>
      <c r="AC281" s="36"/>
      <c r="AD281" s="36"/>
      <c r="AE281" s="23"/>
      <c r="AF281" s="23"/>
      <c r="AG281" s="23"/>
      <c r="AH281" s="23"/>
      <c r="AI281" s="23"/>
      <c r="AJ281" s="36"/>
      <c r="AK281" s="23"/>
    </row>
    <row r="282" spans="1:37" hidden="1" x14ac:dyDescent="0.3">
      <c r="B282" s="23" t="s">
        <v>276</v>
      </c>
      <c r="C282" s="34"/>
      <c r="D282" s="23"/>
      <c r="E282" s="23"/>
      <c r="F282" s="23"/>
      <c r="G282" s="35"/>
      <c r="H282" s="36"/>
      <c r="I282" s="36"/>
      <c r="J282" s="35"/>
      <c r="K282" s="35"/>
      <c r="L282" s="30" t="s">
        <v>717</v>
      </c>
      <c r="M282" s="30" t="s">
        <v>729</v>
      </c>
      <c r="N282" s="25"/>
      <c r="O282" s="24"/>
      <c r="P282" s="23"/>
      <c r="Q282" s="30" t="s">
        <v>730</v>
      </c>
      <c r="R282" s="31">
        <v>37987</v>
      </c>
      <c r="S282" s="47">
        <v>38687</v>
      </c>
      <c r="T282" s="39">
        <v>24</v>
      </c>
      <c r="U282" s="40">
        <v>0</v>
      </c>
      <c r="V282" s="40">
        <v>0</v>
      </c>
      <c r="W282" s="40"/>
      <c r="X282" s="23"/>
      <c r="Y282" s="23"/>
      <c r="Z282" s="23"/>
      <c r="AA282" s="23"/>
      <c r="AB282" s="23"/>
      <c r="AC282" s="36"/>
      <c r="AD282" s="36"/>
      <c r="AE282" s="23"/>
      <c r="AF282" s="23"/>
      <c r="AG282" s="23"/>
      <c r="AH282" s="23"/>
      <c r="AI282" s="23"/>
      <c r="AJ282" s="36"/>
      <c r="AK282" s="23"/>
    </row>
    <row r="283" spans="1:37" hidden="1" x14ac:dyDescent="0.3">
      <c r="B283" s="23" t="s">
        <v>276</v>
      </c>
      <c r="C283" s="34"/>
      <c r="D283" s="23"/>
      <c r="E283" s="23"/>
      <c r="F283" s="23"/>
      <c r="G283" s="35"/>
      <c r="H283" s="36"/>
      <c r="I283" s="36"/>
      <c r="J283" s="35"/>
      <c r="K283" s="35"/>
      <c r="L283" s="30" t="s">
        <v>717</v>
      </c>
      <c r="M283" s="30" t="s">
        <v>731</v>
      </c>
      <c r="N283" s="24"/>
      <c r="O283" s="24" t="s">
        <v>723</v>
      </c>
      <c r="P283" s="23"/>
      <c r="Q283" s="30" t="s">
        <v>732</v>
      </c>
      <c r="R283" s="31">
        <v>37196</v>
      </c>
      <c r="S283" s="47">
        <v>37956</v>
      </c>
      <c r="T283" s="39">
        <v>26</v>
      </c>
      <c r="U283" s="40">
        <v>0</v>
      </c>
      <c r="V283" s="40">
        <v>0</v>
      </c>
      <c r="W283" s="40"/>
      <c r="X283" s="23"/>
      <c r="Y283" s="23"/>
      <c r="Z283" s="23"/>
      <c r="AA283" s="23"/>
      <c r="AB283" s="23"/>
      <c r="AC283" s="36"/>
      <c r="AD283" s="36"/>
      <c r="AE283" s="23"/>
      <c r="AF283" s="23"/>
      <c r="AG283" s="23"/>
      <c r="AH283" s="23"/>
      <c r="AI283" s="23"/>
      <c r="AJ283" s="36"/>
      <c r="AK283" s="23"/>
    </row>
    <row r="284" spans="1:37" hidden="1" x14ac:dyDescent="0.3">
      <c r="B284" s="23" t="s">
        <v>276</v>
      </c>
      <c r="C284" s="34"/>
      <c r="D284" s="23"/>
      <c r="E284" s="23"/>
      <c r="F284" s="23"/>
      <c r="G284" s="35"/>
      <c r="H284" s="36"/>
      <c r="I284" s="36"/>
      <c r="J284" s="35"/>
      <c r="K284" s="35"/>
      <c r="L284" s="30" t="s">
        <v>717</v>
      </c>
      <c r="M284" s="30" t="s">
        <v>733</v>
      </c>
      <c r="N284" s="24"/>
      <c r="O284" s="24" t="s">
        <v>723</v>
      </c>
      <c r="P284" s="23"/>
      <c r="Q284" s="30" t="s">
        <v>732</v>
      </c>
      <c r="R284" s="31">
        <v>35339</v>
      </c>
      <c r="S284" s="47">
        <v>37165</v>
      </c>
      <c r="T284" s="39">
        <v>61</v>
      </c>
      <c r="U284" s="40">
        <v>0</v>
      </c>
      <c r="V284" s="40">
        <v>0</v>
      </c>
      <c r="W284" s="40"/>
      <c r="X284" s="23"/>
      <c r="Y284" s="23"/>
      <c r="Z284" s="23"/>
      <c r="AA284" s="23"/>
      <c r="AB284" s="23"/>
      <c r="AC284" s="36"/>
      <c r="AD284" s="36"/>
      <c r="AE284" s="23"/>
      <c r="AF284" s="23"/>
      <c r="AG284" s="23"/>
      <c r="AH284" s="23"/>
      <c r="AI284" s="23"/>
      <c r="AJ284" s="36"/>
      <c r="AK284" s="23"/>
    </row>
    <row r="285" spans="1:37" hidden="1" x14ac:dyDescent="0.3">
      <c r="B285" s="23" t="s">
        <v>276</v>
      </c>
      <c r="C285" s="34"/>
      <c r="D285" s="23"/>
      <c r="E285" s="23"/>
      <c r="F285" s="23"/>
      <c r="G285" s="35"/>
      <c r="H285" s="36"/>
      <c r="I285" s="36"/>
      <c r="J285" s="35"/>
      <c r="K285" s="35"/>
      <c r="L285" s="30" t="s">
        <v>734</v>
      </c>
      <c r="M285" s="30" t="s">
        <v>735</v>
      </c>
      <c r="N285" s="44"/>
      <c r="O285" s="24"/>
      <c r="P285" s="23"/>
      <c r="Q285" s="30" t="s">
        <v>732</v>
      </c>
      <c r="R285" s="31">
        <v>34394</v>
      </c>
      <c r="S285" s="47">
        <v>35309</v>
      </c>
      <c r="T285" s="39">
        <v>31</v>
      </c>
      <c r="U285" s="40">
        <v>0</v>
      </c>
      <c r="V285" s="40">
        <v>23</v>
      </c>
      <c r="W285" s="40"/>
      <c r="X285" s="23"/>
      <c r="Y285" s="23"/>
      <c r="Z285" s="23"/>
      <c r="AA285" s="23"/>
      <c r="AB285" s="23"/>
      <c r="AC285" s="36"/>
      <c r="AD285" s="36"/>
      <c r="AE285" s="23"/>
      <c r="AF285" s="23"/>
      <c r="AG285" s="23"/>
      <c r="AH285" s="23"/>
      <c r="AI285" s="23"/>
      <c r="AJ285" s="36"/>
      <c r="AK285" s="23"/>
    </row>
    <row r="286" spans="1:37" ht="33" hidden="1" x14ac:dyDescent="0.3">
      <c r="B286" s="23" t="s">
        <v>276</v>
      </c>
      <c r="C286" s="34"/>
      <c r="D286" s="23"/>
      <c r="E286" s="23"/>
      <c r="F286" s="23"/>
      <c r="G286" s="35"/>
      <c r="H286" s="36"/>
      <c r="I286" s="36"/>
      <c r="J286" s="35"/>
      <c r="K286" s="35"/>
      <c r="L286" s="30" t="s">
        <v>736</v>
      </c>
      <c r="M286" s="30" t="s">
        <v>737</v>
      </c>
      <c r="N286" s="24"/>
      <c r="O286" s="24" t="s">
        <v>738</v>
      </c>
      <c r="P286" s="23"/>
      <c r="Q286" s="30" t="s">
        <v>739</v>
      </c>
      <c r="R286" s="31">
        <v>32051</v>
      </c>
      <c r="S286" s="47">
        <v>33664</v>
      </c>
      <c r="T286" s="39">
        <v>54</v>
      </c>
      <c r="U286" s="40">
        <v>1</v>
      </c>
      <c r="V286" s="40">
        <v>0</v>
      </c>
      <c r="W286" s="40"/>
      <c r="X286" s="23"/>
      <c r="Y286" s="23"/>
      <c r="Z286" s="23"/>
      <c r="AA286" s="23"/>
      <c r="AB286" s="23"/>
      <c r="AC286" s="36"/>
      <c r="AD286" s="36"/>
      <c r="AE286" s="23"/>
      <c r="AF286" s="23"/>
      <c r="AG286" s="23"/>
      <c r="AH286" s="23"/>
      <c r="AI286" s="23"/>
      <c r="AJ286" s="36"/>
      <c r="AK286" s="23"/>
    </row>
    <row r="287" spans="1:37" hidden="1" x14ac:dyDescent="0.3">
      <c r="B287" s="23" t="s">
        <v>276</v>
      </c>
      <c r="C287" s="34"/>
      <c r="D287" s="23"/>
      <c r="E287" s="23"/>
      <c r="F287" s="23"/>
      <c r="G287" s="35"/>
      <c r="H287" s="36"/>
      <c r="I287" s="36"/>
      <c r="J287" s="35"/>
      <c r="K287" s="35"/>
      <c r="L287" s="30" t="s">
        <v>740</v>
      </c>
      <c r="M287" s="30" t="s">
        <v>741</v>
      </c>
      <c r="N287" s="24"/>
      <c r="O287" s="24"/>
      <c r="P287" s="23"/>
      <c r="Q287" s="30" t="s">
        <v>742</v>
      </c>
      <c r="R287" s="31">
        <v>31413</v>
      </c>
      <c r="S287" s="47">
        <v>32051</v>
      </c>
      <c r="T287" s="39">
        <v>22</v>
      </c>
      <c r="U287" s="40">
        <v>1</v>
      </c>
      <c r="V287" s="40">
        <v>0</v>
      </c>
      <c r="W287" s="40"/>
      <c r="X287" s="23"/>
      <c r="Y287" s="23"/>
      <c r="Z287" s="23"/>
      <c r="AA287" s="23"/>
      <c r="AB287" s="23"/>
      <c r="AC287" s="36"/>
      <c r="AD287" s="36"/>
      <c r="AE287" s="23"/>
      <c r="AF287" s="23"/>
      <c r="AG287" s="23"/>
      <c r="AH287" s="23"/>
      <c r="AI287" s="23"/>
      <c r="AJ287" s="36"/>
      <c r="AK287" s="23"/>
    </row>
    <row r="288" spans="1:37" hidden="1" x14ac:dyDescent="0.3">
      <c r="B288" s="23" t="s">
        <v>276</v>
      </c>
      <c r="C288" s="34"/>
      <c r="D288" s="23"/>
      <c r="E288" s="23"/>
      <c r="F288" s="23"/>
      <c r="G288" s="35"/>
      <c r="H288" s="36"/>
      <c r="I288" s="36"/>
      <c r="J288" s="35"/>
      <c r="K288" s="35"/>
      <c r="L288" s="30" t="s">
        <v>743</v>
      </c>
      <c r="M288" s="30" t="s">
        <v>744</v>
      </c>
      <c r="N288" s="25"/>
      <c r="O288" s="24" t="s">
        <v>738</v>
      </c>
      <c r="P288" s="23"/>
      <c r="Q288" s="30" t="s">
        <v>745</v>
      </c>
      <c r="R288" s="31">
        <v>29738</v>
      </c>
      <c r="S288" s="47">
        <v>31413</v>
      </c>
      <c r="T288" s="39">
        <v>56</v>
      </c>
      <c r="U288" s="40">
        <v>0</v>
      </c>
      <c r="V288" s="40">
        <v>0</v>
      </c>
      <c r="W288" s="40"/>
      <c r="X288" s="23"/>
      <c r="Y288" s="23"/>
      <c r="Z288" s="23"/>
      <c r="AA288" s="23"/>
      <c r="AB288" s="23"/>
      <c r="AC288" s="36"/>
      <c r="AD288" s="36"/>
      <c r="AE288" s="23"/>
      <c r="AF288" s="23"/>
      <c r="AG288" s="23"/>
      <c r="AH288" s="23"/>
      <c r="AI288" s="23"/>
      <c r="AJ288" s="36"/>
      <c r="AK288" s="23"/>
    </row>
    <row r="289" spans="1:37" hidden="1" x14ac:dyDescent="0.3">
      <c r="B289" s="23"/>
      <c r="C289" s="34"/>
      <c r="D289" s="23"/>
      <c r="E289" s="23"/>
      <c r="F289" s="23"/>
      <c r="G289" s="35"/>
      <c r="H289" s="36"/>
      <c r="I289" s="36"/>
      <c r="J289" s="35"/>
      <c r="K289" s="35"/>
      <c r="L289" s="30"/>
      <c r="M289" s="30"/>
      <c r="N289" s="25"/>
      <c r="O289" s="24"/>
      <c r="P289" s="23"/>
      <c r="Q289" s="30"/>
      <c r="R289" s="31"/>
      <c r="S289" s="47"/>
      <c r="T289" s="39"/>
      <c r="U289" s="40"/>
      <c r="V289" s="40"/>
      <c r="W289" s="40"/>
      <c r="X289" s="23"/>
      <c r="Y289" s="23"/>
      <c r="Z289" s="23"/>
      <c r="AA289" s="23"/>
      <c r="AB289" s="23"/>
      <c r="AC289" s="36"/>
      <c r="AD289" s="36"/>
      <c r="AE289" s="23"/>
      <c r="AF289" s="23"/>
      <c r="AG289" s="23"/>
      <c r="AH289" s="23"/>
      <c r="AI289" s="23"/>
      <c r="AJ289" s="36"/>
      <c r="AK289" s="23"/>
    </row>
    <row r="290" spans="1:37" x14ac:dyDescent="0.3">
      <c r="A290">
        <v>18</v>
      </c>
      <c r="B290" s="48" t="s">
        <v>278</v>
      </c>
      <c r="C290" s="49">
        <v>24858</v>
      </c>
      <c r="D290" s="48" t="s">
        <v>746</v>
      </c>
      <c r="E290" s="48" t="s">
        <v>747</v>
      </c>
      <c r="F290" s="48" t="s">
        <v>715</v>
      </c>
      <c r="G290" s="50">
        <v>43313</v>
      </c>
      <c r="H290" s="51">
        <v>4.416666666666667</v>
      </c>
      <c r="I290" s="51"/>
      <c r="J290" s="50"/>
      <c r="K290" s="50"/>
      <c r="L290" s="52"/>
      <c r="M290" s="29"/>
      <c r="N290" s="52"/>
      <c r="O290" s="29"/>
      <c r="P290" s="52"/>
      <c r="Q290" s="29"/>
      <c r="R290" s="53"/>
      <c r="S290" s="53"/>
      <c r="T290" s="39">
        <v>1</v>
      </c>
      <c r="U290" s="40">
        <v>0</v>
      </c>
      <c r="V290" s="40">
        <v>0</v>
      </c>
      <c r="W290" s="54"/>
      <c r="X290" s="48"/>
      <c r="Y290" s="48"/>
      <c r="Z290" s="48"/>
      <c r="AA290" s="48" t="s">
        <v>670</v>
      </c>
      <c r="AB290" s="48" t="s">
        <v>669</v>
      </c>
      <c r="AC290" s="51">
        <v>0</v>
      </c>
      <c r="AD290" s="51">
        <v>0</v>
      </c>
      <c r="AE290" s="48">
        <v>0</v>
      </c>
      <c r="AF290" s="48">
        <v>0</v>
      </c>
      <c r="AG290" s="48">
        <v>0</v>
      </c>
      <c r="AH290" s="48">
        <v>0</v>
      </c>
      <c r="AI290" s="48">
        <v>0</v>
      </c>
      <c r="AJ290" s="51">
        <v>0</v>
      </c>
      <c r="AK290" s="48">
        <v>0</v>
      </c>
    </row>
    <row r="291" spans="1:37" hidden="1" x14ac:dyDescent="0.3">
      <c r="B291" s="48"/>
      <c r="C291" s="49"/>
      <c r="D291" s="48"/>
      <c r="E291" s="48"/>
      <c r="F291" s="48"/>
      <c r="G291" s="50"/>
      <c r="H291" s="51"/>
      <c r="I291" s="51"/>
      <c r="J291" s="50"/>
      <c r="K291" s="50"/>
      <c r="L291" s="52"/>
      <c r="M291" s="29"/>
      <c r="N291" s="52"/>
      <c r="O291" s="29"/>
      <c r="P291" s="52"/>
      <c r="Q291" s="29"/>
      <c r="R291" s="53"/>
      <c r="S291" s="53"/>
      <c r="T291" s="39"/>
      <c r="U291" s="40"/>
      <c r="V291" s="40"/>
      <c r="W291" s="54"/>
      <c r="X291" s="48"/>
      <c r="Y291" s="48"/>
      <c r="Z291" s="48"/>
      <c r="AA291" s="48"/>
      <c r="AB291" s="48"/>
      <c r="AC291" s="51"/>
      <c r="AD291" s="51"/>
      <c r="AE291" s="48"/>
      <c r="AF291" s="48"/>
      <c r="AG291" s="48"/>
      <c r="AH291" s="48"/>
      <c r="AI291" s="48"/>
      <c r="AJ291" s="51">
        <v>0</v>
      </c>
      <c r="AK291" s="48">
        <v>0</v>
      </c>
    </row>
    <row r="292" spans="1:37" hidden="1" x14ac:dyDescent="0.3">
      <c r="B292" s="48" t="s">
        <v>279</v>
      </c>
      <c r="C292" s="49"/>
      <c r="D292" s="48"/>
      <c r="E292" s="48"/>
      <c r="F292" s="48"/>
      <c r="G292" s="50"/>
      <c r="H292" s="51"/>
      <c r="I292" s="51"/>
      <c r="J292" s="50"/>
      <c r="K292" s="50"/>
      <c r="L292" s="52"/>
      <c r="M292" s="29"/>
      <c r="N292" s="52"/>
      <c r="O292" s="29"/>
      <c r="P292" s="52"/>
      <c r="Q292" s="29"/>
      <c r="R292" s="53"/>
      <c r="S292" s="53"/>
      <c r="T292" s="39">
        <v>1</v>
      </c>
      <c r="U292" s="40">
        <v>0</v>
      </c>
      <c r="V292" s="40">
        <v>0</v>
      </c>
      <c r="W292" s="54"/>
      <c r="X292" s="48"/>
      <c r="Y292" s="48"/>
      <c r="Z292" s="48"/>
      <c r="AA292" s="48" t="s">
        <v>670</v>
      </c>
      <c r="AB292" s="48" t="s">
        <v>669</v>
      </c>
      <c r="AC292" s="51">
        <v>0</v>
      </c>
      <c r="AD292" s="51">
        <v>0</v>
      </c>
      <c r="AE292" s="48">
        <v>0</v>
      </c>
      <c r="AF292" s="48">
        <v>0</v>
      </c>
      <c r="AG292" s="48">
        <v>0</v>
      </c>
      <c r="AH292" s="48">
        <v>0</v>
      </c>
      <c r="AI292" s="48">
        <v>0</v>
      </c>
      <c r="AJ292" s="51">
        <v>0</v>
      </c>
      <c r="AK292" s="48">
        <v>0</v>
      </c>
    </row>
    <row r="293" spans="1:37" hidden="1" x14ac:dyDescent="0.3">
      <c r="B293" s="48"/>
      <c r="C293" s="49"/>
      <c r="D293" s="48"/>
      <c r="E293" s="48"/>
      <c r="F293" s="48"/>
      <c r="G293" s="50"/>
      <c r="H293" s="51"/>
      <c r="I293" s="51"/>
      <c r="J293" s="50"/>
      <c r="K293" s="50"/>
      <c r="L293" s="52"/>
      <c r="M293" s="29"/>
      <c r="N293" s="52"/>
      <c r="O293" s="29"/>
      <c r="P293" s="52"/>
      <c r="Q293" s="29"/>
      <c r="R293" s="53"/>
      <c r="S293" s="53"/>
      <c r="T293" s="39"/>
      <c r="U293" s="40"/>
      <c r="V293" s="40"/>
      <c r="W293" s="54"/>
      <c r="X293" s="48"/>
      <c r="Y293" s="48"/>
      <c r="Z293" s="48"/>
      <c r="AA293" s="48"/>
      <c r="AB293" s="48"/>
      <c r="AC293" s="51"/>
      <c r="AD293" s="51"/>
      <c r="AE293" s="48"/>
      <c r="AF293" s="48"/>
      <c r="AG293" s="48"/>
      <c r="AH293" s="48"/>
      <c r="AI293" s="48"/>
      <c r="AJ293" s="51">
        <v>0</v>
      </c>
      <c r="AK293" s="48">
        <v>0</v>
      </c>
    </row>
    <row r="294" spans="1:37" x14ac:dyDescent="0.3">
      <c r="A294">
        <v>19</v>
      </c>
      <c r="B294" s="23" t="s">
        <v>280</v>
      </c>
      <c r="C294" s="34">
        <v>21916</v>
      </c>
      <c r="D294" s="23" t="s">
        <v>713</v>
      </c>
      <c r="E294" s="23" t="s">
        <v>714</v>
      </c>
      <c r="F294" s="35" t="s">
        <v>748</v>
      </c>
      <c r="G294" s="35">
        <v>44337</v>
      </c>
      <c r="H294" s="55">
        <v>1.5833333333333333</v>
      </c>
      <c r="I294" s="36"/>
      <c r="J294" s="35"/>
      <c r="K294" s="35"/>
      <c r="L294" s="23" t="s">
        <v>158</v>
      </c>
      <c r="M294" s="23" t="s">
        <v>281</v>
      </c>
      <c r="N294" s="25"/>
      <c r="O294" s="24" t="s">
        <v>374</v>
      </c>
      <c r="P294" s="23"/>
      <c r="Q294" s="32" t="s">
        <v>282</v>
      </c>
      <c r="R294" s="31">
        <v>42461</v>
      </c>
      <c r="S294" s="31">
        <v>43800</v>
      </c>
      <c r="T294" s="39">
        <v>45</v>
      </c>
      <c r="U294" s="40">
        <v>0</v>
      </c>
      <c r="V294" s="40">
        <v>3</v>
      </c>
      <c r="W294" s="40"/>
      <c r="X294" s="23"/>
      <c r="Y294" s="23"/>
      <c r="Z294" s="23"/>
      <c r="AA294" s="23" t="s">
        <v>669</v>
      </c>
      <c r="AB294" s="23" t="s">
        <v>670</v>
      </c>
      <c r="AC294" s="36">
        <v>36.08</v>
      </c>
      <c r="AD294" s="36">
        <v>12.08</v>
      </c>
      <c r="AE294" s="23">
        <v>4</v>
      </c>
      <c r="AF294" s="23">
        <v>0</v>
      </c>
      <c r="AG294" s="23">
        <v>4</v>
      </c>
      <c r="AH294" s="23">
        <v>0</v>
      </c>
      <c r="AI294" s="23">
        <v>13.33</v>
      </c>
      <c r="AJ294" s="36">
        <v>24</v>
      </c>
      <c r="AK294" s="23">
        <v>7</v>
      </c>
    </row>
    <row r="295" spans="1:37" hidden="1" x14ac:dyDescent="0.3">
      <c r="B295" s="23" t="s">
        <v>280</v>
      </c>
      <c r="C295" s="34"/>
      <c r="D295" s="23"/>
      <c r="E295" s="23"/>
      <c r="F295" s="35"/>
      <c r="G295" s="35"/>
      <c r="H295" s="55"/>
      <c r="I295" s="55"/>
      <c r="J295" s="56"/>
      <c r="K295" s="35"/>
      <c r="L295" s="23" t="s">
        <v>283</v>
      </c>
      <c r="M295" s="32" t="s">
        <v>284</v>
      </c>
      <c r="N295" s="24"/>
      <c r="O295" s="24" t="s">
        <v>749</v>
      </c>
      <c r="P295" s="23"/>
      <c r="Q295" s="23" t="s">
        <v>69</v>
      </c>
      <c r="R295" s="31">
        <v>40909</v>
      </c>
      <c r="S295" s="31">
        <v>42339</v>
      </c>
      <c r="T295" s="39">
        <v>48</v>
      </c>
      <c r="U295" s="40">
        <v>0</v>
      </c>
      <c r="V295" s="40">
        <v>0</v>
      </c>
      <c r="W295" s="40"/>
      <c r="X295" s="23"/>
      <c r="Y295" s="23"/>
      <c r="Z295" s="23"/>
      <c r="AA295" s="23"/>
      <c r="AB295" s="23"/>
      <c r="AC295" s="36"/>
      <c r="AD295" s="36"/>
      <c r="AE295" s="23"/>
      <c r="AF295" s="23"/>
      <c r="AG295" s="23"/>
      <c r="AH295" s="23"/>
      <c r="AI295" s="23"/>
      <c r="AJ295" s="36"/>
      <c r="AK295" s="23"/>
    </row>
    <row r="296" spans="1:37" hidden="1" x14ac:dyDescent="0.3">
      <c r="B296" s="23" t="s">
        <v>280</v>
      </c>
      <c r="C296" s="34"/>
      <c r="D296" s="23"/>
      <c r="E296" s="23"/>
      <c r="F296" s="35"/>
      <c r="G296" s="35"/>
      <c r="H296" s="55"/>
      <c r="I296" s="55"/>
      <c r="J296" s="56"/>
      <c r="K296" s="35"/>
      <c r="L296" s="30" t="s">
        <v>285</v>
      </c>
      <c r="M296" s="30" t="s">
        <v>286</v>
      </c>
      <c r="N296" s="24"/>
      <c r="O296" s="24" t="s">
        <v>749</v>
      </c>
      <c r="P296" s="23"/>
      <c r="Q296" s="30" t="s">
        <v>69</v>
      </c>
      <c r="R296" s="31">
        <v>39479</v>
      </c>
      <c r="S296" s="47">
        <v>40878</v>
      </c>
      <c r="T296" s="39">
        <v>47</v>
      </c>
      <c r="U296" s="40">
        <v>0</v>
      </c>
      <c r="V296" s="40">
        <v>0</v>
      </c>
      <c r="W296" s="40"/>
      <c r="X296" s="23"/>
      <c r="Y296" s="23"/>
      <c r="Z296" s="23"/>
      <c r="AA296" s="23"/>
      <c r="AB296" s="23"/>
      <c r="AC296" s="36"/>
      <c r="AD296" s="36"/>
      <c r="AE296" s="23"/>
      <c r="AF296" s="23"/>
      <c r="AG296" s="23"/>
      <c r="AH296" s="23"/>
      <c r="AI296" s="23"/>
      <c r="AJ296" s="36"/>
      <c r="AK296" s="23"/>
    </row>
    <row r="297" spans="1:37" ht="33" hidden="1" x14ac:dyDescent="0.3">
      <c r="B297" s="23" t="s">
        <v>280</v>
      </c>
      <c r="C297" s="34"/>
      <c r="D297" s="23"/>
      <c r="E297" s="23"/>
      <c r="F297" s="35"/>
      <c r="G297" s="35"/>
      <c r="H297" s="55"/>
      <c r="I297" s="55"/>
      <c r="J297" s="56"/>
      <c r="K297" s="35"/>
      <c r="L297" s="30" t="s">
        <v>717</v>
      </c>
      <c r="M297" s="32" t="s">
        <v>287</v>
      </c>
      <c r="N297" s="24"/>
      <c r="O297" s="24" t="s">
        <v>749</v>
      </c>
      <c r="P297" s="23"/>
      <c r="Q297" s="30" t="s">
        <v>288</v>
      </c>
      <c r="R297" s="31">
        <v>38078</v>
      </c>
      <c r="S297" s="47">
        <v>39448</v>
      </c>
      <c r="T297" s="39">
        <v>46</v>
      </c>
      <c r="U297" s="40">
        <v>0</v>
      </c>
      <c r="V297" s="40">
        <v>0</v>
      </c>
      <c r="W297" s="40"/>
      <c r="X297" s="23"/>
      <c r="Y297" s="23"/>
      <c r="Z297" s="23"/>
      <c r="AA297" s="23"/>
      <c r="AB297" s="23"/>
      <c r="AC297" s="36"/>
      <c r="AD297" s="36"/>
      <c r="AE297" s="23"/>
      <c r="AF297" s="23"/>
      <c r="AG297" s="23"/>
      <c r="AH297" s="23"/>
      <c r="AI297" s="23"/>
      <c r="AJ297" s="36"/>
      <c r="AK297" s="23"/>
    </row>
    <row r="298" spans="1:37" hidden="1" x14ac:dyDescent="0.3">
      <c r="B298" s="23" t="s">
        <v>280</v>
      </c>
      <c r="C298" s="34"/>
      <c r="D298" s="23"/>
      <c r="E298" s="23"/>
      <c r="F298" s="35"/>
      <c r="G298" s="35"/>
      <c r="H298" s="55"/>
      <c r="I298" s="55"/>
      <c r="J298" s="56"/>
      <c r="K298" s="35"/>
      <c r="L298" s="30" t="s">
        <v>289</v>
      </c>
      <c r="M298" s="30" t="s">
        <v>290</v>
      </c>
      <c r="N298" s="44"/>
      <c r="O298" s="24" t="s">
        <v>723</v>
      </c>
      <c r="P298" s="23"/>
      <c r="Q298" s="30" t="s">
        <v>69</v>
      </c>
      <c r="R298" s="31">
        <v>37257</v>
      </c>
      <c r="S298" s="47">
        <v>38047</v>
      </c>
      <c r="T298" s="39">
        <v>27</v>
      </c>
      <c r="U298" s="40">
        <v>0</v>
      </c>
      <c r="V298" s="40">
        <v>0</v>
      </c>
      <c r="W298" s="40"/>
      <c r="X298" s="23"/>
      <c r="Y298" s="23"/>
      <c r="Z298" s="23"/>
      <c r="AA298" s="23"/>
      <c r="AB298" s="23"/>
      <c r="AC298" s="36"/>
      <c r="AD298" s="36"/>
      <c r="AE298" s="23"/>
      <c r="AF298" s="23"/>
      <c r="AG298" s="23"/>
      <c r="AH298" s="23"/>
      <c r="AI298" s="23"/>
      <c r="AJ298" s="36"/>
      <c r="AK298" s="23"/>
    </row>
    <row r="299" spans="1:37" hidden="1" x14ac:dyDescent="0.3">
      <c r="B299" s="23" t="s">
        <v>280</v>
      </c>
      <c r="C299" s="34"/>
      <c r="D299" s="23"/>
      <c r="E299" s="23"/>
      <c r="F299" s="35"/>
      <c r="G299" s="35"/>
      <c r="H299" s="55"/>
      <c r="I299" s="55"/>
      <c r="J299" s="56"/>
      <c r="K299" s="35"/>
      <c r="L299" s="30" t="s">
        <v>291</v>
      </c>
      <c r="M299" s="30" t="s">
        <v>292</v>
      </c>
      <c r="N299" s="25"/>
      <c r="O299" s="24" t="s">
        <v>725</v>
      </c>
      <c r="P299" s="23"/>
      <c r="Q299" s="30" t="s">
        <v>69</v>
      </c>
      <c r="R299" s="31">
        <v>36557</v>
      </c>
      <c r="S299" s="47">
        <v>37226</v>
      </c>
      <c r="T299" s="39">
        <v>23</v>
      </c>
      <c r="U299" s="40">
        <v>0</v>
      </c>
      <c r="V299" s="40">
        <v>12</v>
      </c>
      <c r="W299" s="40"/>
      <c r="X299" s="23"/>
      <c r="Y299" s="23"/>
      <c r="Z299" s="23"/>
      <c r="AA299" s="23"/>
      <c r="AB299" s="23"/>
      <c r="AC299" s="36"/>
      <c r="AD299" s="36"/>
      <c r="AE299" s="23"/>
      <c r="AF299" s="23"/>
      <c r="AG299" s="23"/>
      <c r="AH299" s="23"/>
      <c r="AI299" s="23"/>
      <c r="AJ299" s="36"/>
      <c r="AK299" s="23"/>
    </row>
    <row r="300" spans="1:37" ht="33" hidden="1" x14ac:dyDescent="0.3">
      <c r="B300" s="23" t="s">
        <v>280</v>
      </c>
      <c r="C300" s="34"/>
      <c r="D300" s="23"/>
      <c r="E300" s="23"/>
      <c r="F300" s="35"/>
      <c r="G300" s="35"/>
      <c r="H300" s="55"/>
      <c r="I300" s="55"/>
      <c r="J300" s="56"/>
      <c r="K300" s="35"/>
      <c r="L300" s="30" t="s">
        <v>293</v>
      </c>
      <c r="M300" s="30" t="s">
        <v>294</v>
      </c>
      <c r="N300" s="24"/>
      <c r="O300" s="24"/>
      <c r="P300" s="23"/>
      <c r="Q300" s="30" t="s">
        <v>295</v>
      </c>
      <c r="R300" s="31">
        <v>34759</v>
      </c>
      <c r="S300" s="47">
        <v>36161</v>
      </c>
      <c r="T300" s="39">
        <v>47</v>
      </c>
      <c r="U300" s="40">
        <v>0</v>
      </c>
      <c r="V300" s="40">
        <v>0</v>
      </c>
      <c r="W300" s="40"/>
      <c r="X300" s="23"/>
      <c r="Y300" s="23"/>
      <c r="Z300" s="23"/>
      <c r="AA300" s="23"/>
      <c r="AB300" s="23"/>
      <c r="AC300" s="36"/>
      <c r="AD300" s="36"/>
      <c r="AE300" s="23"/>
      <c r="AF300" s="23"/>
      <c r="AG300" s="23"/>
      <c r="AH300" s="23"/>
      <c r="AI300" s="23"/>
      <c r="AJ300" s="36"/>
      <c r="AK300" s="23"/>
    </row>
    <row r="301" spans="1:37" hidden="1" x14ac:dyDescent="0.3">
      <c r="B301" s="23" t="s">
        <v>280</v>
      </c>
      <c r="C301" s="34"/>
      <c r="D301" s="23"/>
      <c r="E301" s="23"/>
      <c r="F301" s="35"/>
      <c r="G301" s="35"/>
      <c r="H301" s="55"/>
      <c r="I301" s="55"/>
      <c r="J301" s="56"/>
      <c r="K301" s="35"/>
      <c r="L301" s="60" t="s">
        <v>717</v>
      </c>
      <c r="M301" s="30" t="s">
        <v>296</v>
      </c>
      <c r="N301" s="24"/>
      <c r="O301" s="24"/>
      <c r="P301" s="23"/>
      <c r="Q301" s="30" t="s">
        <v>297</v>
      </c>
      <c r="R301" s="31">
        <v>32874</v>
      </c>
      <c r="S301" s="47">
        <v>34731</v>
      </c>
      <c r="T301" s="39">
        <v>62</v>
      </c>
      <c r="U301" s="40">
        <v>0</v>
      </c>
      <c r="V301" s="40">
        <v>0</v>
      </c>
      <c r="W301" s="40"/>
      <c r="X301" s="23"/>
      <c r="Y301" s="23"/>
      <c r="Z301" s="23"/>
      <c r="AA301" s="23"/>
      <c r="AB301" s="23"/>
      <c r="AC301" s="36"/>
      <c r="AD301" s="36"/>
      <c r="AE301" s="23"/>
      <c r="AF301" s="23"/>
      <c r="AG301" s="23"/>
      <c r="AH301" s="23"/>
      <c r="AI301" s="23"/>
      <c r="AJ301" s="36"/>
      <c r="AK301" s="23"/>
    </row>
    <row r="302" spans="1:37" ht="49.5" hidden="1" x14ac:dyDescent="0.3">
      <c r="B302" s="23" t="s">
        <v>280</v>
      </c>
      <c r="C302" s="34"/>
      <c r="D302" s="23"/>
      <c r="E302" s="23"/>
      <c r="F302" s="35"/>
      <c r="G302" s="35"/>
      <c r="H302" s="55"/>
      <c r="I302" s="55"/>
      <c r="J302" s="56"/>
      <c r="K302" s="35"/>
      <c r="L302" s="24" t="s">
        <v>218</v>
      </c>
      <c r="M302" s="30" t="s">
        <v>298</v>
      </c>
      <c r="N302" s="44"/>
      <c r="O302" s="24" t="s">
        <v>723</v>
      </c>
      <c r="P302" s="23"/>
      <c r="Q302" s="30" t="s">
        <v>299</v>
      </c>
      <c r="R302" s="31">
        <v>31321</v>
      </c>
      <c r="S302" s="47">
        <v>32843</v>
      </c>
      <c r="T302" s="39">
        <v>51</v>
      </c>
      <c r="U302" s="40">
        <v>0</v>
      </c>
      <c r="V302" s="40">
        <v>0</v>
      </c>
      <c r="W302" s="40"/>
      <c r="X302" s="23"/>
      <c r="Y302" s="23"/>
      <c r="Z302" s="23"/>
      <c r="AA302" s="23"/>
      <c r="AB302" s="23"/>
      <c r="AC302" s="36"/>
      <c r="AD302" s="36"/>
      <c r="AE302" s="23"/>
      <c r="AF302" s="23"/>
      <c r="AG302" s="23"/>
      <c r="AH302" s="23"/>
      <c r="AI302" s="23"/>
      <c r="AJ302" s="36"/>
      <c r="AK302" s="23"/>
    </row>
    <row r="303" spans="1:37" ht="33" hidden="1" x14ac:dyDescent="0.3">
      <c r="B303" s="23" t="s">
        <v>280</v>
      </c>
      <c r="C303" s="34"/>
      <c r="D303" s="23"/>
      <c r="E303" s="23"/>
      <c r="F303" s="35"/>
      <c r="G303" s="35"/>
      <c r="H303" s="55"/>
      <c r="I303" s="55"/>
      <c r="J303" s="56"/>
      <c r="K303" s="35"/>
      <c r="L303" s="30" t="s">
        <v>717</v>
      </c>
      <c r="M303" s="30" t="s">
        <v>300</v>
      </c>
      <c r="N303" s="24"/>
      <c r="O303" s="24" t="s">
        <v>723</v>
      </c>
      <c r="P303" s="23"/>
      <c r="Q303" s="30" t="s">
        <v>301</v>
      </c>
      <c r="R303" s="31">
        <v>30195</v>
      </c>
      <c r="S303" s="47">
        <v>31291</v>
      </c>
      <c r="T303" s="39">
        <v>37</v>
      </c>
      <c r="U303" s="40">
        <v>0</v>
      </c>
      <c r="V303" s="40">
        <v>0</v>
      </c>
      <c r="W303" s="40"/>
      <c r="X303" s="23"/>
      <c r="Y303" s="23"/>
      <c r="Z303" s="23"/>
      <c r="AA303" s="23"/>
      <c r="AB303" s="23"/>
      <c r="AC303" s="36"/>
      <c r="AD303" s="36"/>
      <c r="AE303" s="23"/>
      <c r="AF303" s="23"/>
      <c r="AG303" s="23"/>
      <c r="AH303" s="23"/>
      <c r="AI303" s="23"/>
      <c r="AJ303" s="36"/>
      <c r="AK303" s="23"/>
    </row>
    <row r="304" spans="1:37" hidden="1" x14ac:dyDescent="0.3">
      <c r="B304" s="23"/>
      <c r="C304" s="34"/>
      <c r="D304" s="23"/>
      <c r="E304" s="23"/>
      <c r="F304" s="35"/>
      <c r="G304" s="35"/>
      <c r="H304" s="55"/>
      <c r="I304" s="55"/>
      <c r="J304" s="56"/>
      <c r="K304" s="35"/>
      <c r="L304" s="30"/>
      <c r="M304" s="30"/>
      <c r="N304" s="24"/>
      <c r="O304" s="24"/>
      <c r="P304" s="23"/>
      <c r="Q304" s="30"/>
      <c r="R304" s="31"/>
      <c r="S304" s="47"/>
      <c r="T304" s="39"/>
      <c r="U304" s="40"/>
      <c r="V304" s="40"/>
      <c r="W304" s="40"/>
      <c r="X304" s="23"/>
      <c r="Y304" s="23"/>
      <c r="Z304" s="23"/>
      <c r="AA304" s="23"/>
      <c r="AB304" s="23"/>
      <c r="AC304" s="36"/>
      <c r="AD304" s="36"/>
      <c r="AE304" s="23"/>
      <c r="AF304" s="23"/>
      <c r="AG304" s="23"/>
      <c r="AH304" s="23"/>
      <c r="AI304" s="23"/>
      <c r="AJ304" s="36"/>
      <c r="AK304" s="23"/>
    </row>
    <row r="305" spans="1:37" ht="33" x14ac:dyDescent="0.3">
      <c r="A305">
        <v>20</v>
      </c>
      <c r="B305" s="23" t="s">
        <v>302</v>
      </c>
      <c r="C305" s="34">
        <v>23826</v>
      </c>
      <c r="D305" s="23" t="s">
        <v>750</v>
      </c>
      <c r="E305" s="23" t="s">
        <v>714</v>
      </c>
      <c r="F305" s="23" t="s">
        <v>715</v>
      </c>
      <c r="G305" s="35">
        <v>40575</v>
      </c>
      <c r="H305" s="55">
        <v>11.916666666666666</v>
      </c>
      <c r="I305" s="36" t="s">
        <v>716</v>
      </c>
      <c r="J305" s="35">
        <v>44152</v>
      </c>
      <c r="K305" s="35" t="s">
        <v>858</v>
      </c>
      <c r="L305" s="23" t="s">
        <v>158</v>
      </c>
      <c r="M305" s="23" t="s">
        <v>303</v>
      </c>
      <c r="N305" s="25"/>
      <c r="O305" s="24" t="s">
        <v>749</v>
      </c>
      <c r="P305" s="23" t="s">
        <v>67</v>
      </c>
      <c r="Q305" s="32" t="s">
        <v>304</v>
      </c>
      <c r="R305" s="31">
        <v>41913</v>
      </c>
      <c r="S305" s="31">
        <v>43374</v>
      </c>
      <c r="T305" s="39">
        <v>49</v>
      </c>
      <c r="U305" s="40">
        <v>0</v>
      </c>
      <c r="V305" s="40">
        <v>0</v>
      </c>
      <c r="W305" s="40"/>
      <c r="X305" s="23">
        <v>3</v>
      </c>
      <c r="Y305" s="23">
        <v>4</v>
      </c>
      <c r="Z305" s="23"/>
      <c r="AA305" s="23" t="s">
        <v>669</v>
      </c>
      <c r="AB305" s="23" t="s">
        <v>670</v>
      </c>
      <c r="AC305" s="36">
        <v>26.25</v>
      </c>
      <c r="AD305" s="36">
        <v>4.67</v>
      </c>
      <c r="AE305" s="23">
        <v>2</v>
      </c>
      <c r="AF305" s="23">
        <v>0</v>
      </c>
      <c r="AG305" s="23">
        <v>4</v>
      </c>
      <c r="AH305" s="23">
        <v>0</v>
      </c>
      <c r="AI305" s="23">
        <v>7.08</v>
      </c>
      <c r="AJ305" s="36">
        <v>9.5</v>
      </c>
      <c r="AK305" s="23">
        <v>4</v>
      </c>
    </row>
    <row r="306" spans="1:37" ht="33" hidden="1" x14ac:dyDescent="0.3">
      <c r="B306" s="23" t="s">
        <v>302</v>
      </c>
      <c r="C306" s="34"/>
      <c r="D306" s="23"/>
      <c r="E306" s="23"/>
      <c r="F306" s="23"/>
      <c r="G306" s="35"/>
      <c r="H306" s="36"/>
      <c r="I306" s="36"/>
      <c r="J306" s="35"/>
      <c r="K306" s="35"/>
      <c r="L306" s="23" t="s">
        <v>209</v>
      </c>
      <c r="M306" s="32" t="s">
        <v>305</v>
      </c>
      <c r="N306" s="24"/>
      <c r="O306" s="24" t="s">
        <v>723</v>
      </c>
      <c r="P306" s="23" t="s">
        <v>67</v>
      </c>
      <c r="Q306" s="23" t="s">
        <v>102</v>
      </c>
      <c r="R306" s="31">
        <v>41640</v>
      </c>
      <c r="S306" s="31">
        <v>41883</v>
      </c>
      <c r="T306" s="39">
        <v>9</v>
      </c>
      <c r="U306" s="40">
        <v>0</v>
      </c>
      <c r="V306" s="40">
        <v>0</v>
      </c>
      <c r="W306" s="40"/>
      <c r="X306" s="23"/>
      <c r="Y306" s="23"/>
      <c r="Z306" s="23"/>
      <c r="AA306" s="23"/>
      <c r="AB306" s="23"/>
      <c r="AC306" s="36"/>
      <c r="AD306" s="36"/>
      <c r="AE306" s="23"/>
      <c r="AF306" s="23"/>
      <c r="AG306" s="23"/>
      <c r="AH306" s="23"/>
      <c r="AI306" s="23"/>
      <c r="AJ306" s="36"/>
      <c r="AK306" s="23"/>
    </row>
    <row r="307" spans="1:37" hidden="1" x14ac:dyDescent="0.3">
      <c r="B307" s="23" t="s">
        <v>302</v>
      </c>
      <c r="C307" s="34"/>
      <c r="D307" s="23"/>
      <c r="E307" s="23"/>
      <c r="F307" s="23"/>
      <c r="G307" s="35"/>
      <c r="H307" s="36"/>
      <c r="I307" s="36"/>
      <c r="J307" s="35"/>
      <c r="K307" s="35"/>
      <c r="L307" s="30" t="s">
        <v>717</v>
      </c>
      <c r="M307" s="30" t="s">
        <v>306</v>
      </c>
      <c r="N307" s="24"/>
      <c r="O307" s="24" t="s">
        <v>749</v>
      </c>
      <c r="P307" s="23" t="s">
        <v>66</v>
      </c>
      <c r="Q307" s="30" t="s">
        <v>304</v>
      </c>
      <c r="R307" s="31">
        <v>40575</v>
      </c>
      <c r="S307" s="47">
        <v>41609</v>
      </c>
      <c r="T307" s="39">
        <v>35</v>
      </c>
      <c r="U307" s="40">
        <v>0</v>
      </c>
      <c r="V307" s="40">
        <v>1</v>
      </c>
      <c r="W307" s="40"/>
      <c r="X307" s="23"/>
      <c r="Y307" s="23"/>
      <c r="Z307" s="23"/>
      <c r="AA307" s="23"/>
      <c r="AB307" s="23"/>
      <c r="AC307" s="36"/>
      <c r="AD307" s="36"/>
      <c r="AE307" s="23"/>
      <c r="AF307" s="23"/>
      <c r="AG307" s="23"/>
      <c r="AH307" s="23"/>
      <c r="AI307" s="23"/>
      <c r="AJ307" s="36"/>
      <c r="AK307" s="23"/>
    </row>
    <row r="308" spans="1:37" ht="33" hidden="1" x14ac:dyDescent="0.3">
      <c r="B308" s="23" t="s">
        <v>302</v>
      </c>
      <c r="C308" s="34"/>
      <c r="D308" s="23"/>
      <c r="E308" s="23"/>
      <c r="F308" s="23"/>
      <c r="G308" s="35"/>
      <c r="H308" s="36"/>
      <c r="I308" s="36"/>
      <c r="J308" s="35"/>
      <c r="K308" s="35"/>
      <c r="L308" s="30" t="s">
        <v>289</v>
      </c>
      <c r="M308" s="32" t="s">
        <v>307</v>
      </c>
      <c r="N308" s="24"/>
      <c r="O308" s="24" t="s">
        <v>723</v>
      </c>
      <c r="P308" s="23" t="s">
        <v>186</v>
      </c>
      <c r="Q308" s="30" t="s">
        <v>308</v>
      </c>
      <c r="R308" s="31">
        <v>40118</v>
      </c>
      <c r="S308" s="47">
        <v>40513</v>
      </c>
      <c r="T308" s="39">
        <v>14</v>
      </c>
      <c r="U308" s="40">
        <v>0</v>
      </c>
      <c r="V308" s="40">
        <v>0</v>
      </c>
      <c r="W308" s="40"/>
      <c r="X308" s="23"/>
      <c r="Y308" s="23"/>
      <c r="Z308" s="23"/>
      <c r="AA308" s="23"/>
      <c r="AB308" s="23"/>
      <c r="AC308" s="36"/>
      <c r="AD308" s="36"/>
      <c r="AE308" s="23"/>
      <c r="AF308" s="23"/>
      <c r="AG308" s="23"/>
      <c r="AH308" s="23"/>
      <c r="AI308" s="23"/>
      <c r="AJ308" s="36"/>
      <c r="AK308" s="23"/>
    </row>
    <row r="309" spans="1:37" ht="33" hidden="1" x14ac:dyDescent="0.3">
      <c r="B309" s="23" t="s">
        <v>302</v>
      </c>
      <c r="C309" s="34"/>
      <c r="D309" s="23"/>
      <c r="E309" s="23"/>
      <c r="F309" s="23"/>
      <c r="G309" s="35"/>
      <c r="H309" s="36"/>
      <c r="I309" s="36"/>
      <c r="J309" s="35"/>
      <c r="K309" s="35"/>
      <c r="L309" s="30" t="s">
        <v>717</v>
      </c>
      <c r="M309" s="30" t="s">
        <v>309</v>
      </c>
      <c r="N309" s="44"/>
      <c r="O309" s="24" t="s">
        <v>749</v>
      </c>
      <c r="P309" s="23" t="s">
        <v>186</v>
      </c>
      <c r="Q309" s="30" t="s">
        <v>304</v>
      </c>
      <c r="R309" s="31">
        <v>38504</v>
      </c>
      <c r="S309" s="47">
        <v>40087</v>
      </c>
      <c r="T309" s="39">
        <v>53</v>
      </c>
      <c r="U309" s="40">
        <v>0</v>
      </c>
      <c r="V309" s="40">
        <v>20</v>
      </c>
      <c r="W309" s="40"/>
      <c r="X309" s="23"/>
      <c r="Y309" s="23"/>
      <c r="Z309" s="23"/>
      <c r="AA309" s="23"/>
      <c r="AB309" s="23"/>
      <c r="AC309" s="36"/>
      <c r="AD309" s="36"/>
      <c r="AE309" s="23"/>
      <c r="AF309" s="23"/>
      <c r="AG309" s="23"/>
      <c r="AH309" s="23"/>
      <c r="AI309" s="23"/>
      <c r="AJ309" s="36"/>
      <c r="AK309" s="23"/>
    </row>
    <row r="310" spans="1:37" ht="33" hidden="1" x14ac:dyDescent="0.3">
      <c r="B310" s="23" t="s">
        <v>302</v>
      </c>
      <c r="C310" s="34"/>
      <c r="D310" s="23"/>
      <c r="E310" s="23"/>
      <c r="F310" s="23"/>
      <c r="G310" s="35"/>
      <c r="H310" s="36"/>
      <c r="I310" s="36"/>
      <c r="J310" s="35"/>
      <c r="K310" s="35"/>
      <c r="L310" s="30" t="s">
        <v>310</v>
      </c>
      <c r="M310" s="30" t="s">
        <v>311</v>
      </c>
      <c r="N310" s="25"/>
      <c r="O310" s="24" t="s">
        <v>725</v>
      </c>
      <c r="P310" s="23" t="s">
        <v>186</v>
      </c>
      <c r="Q310" s="30" t="s">
        <v>308</v>
      </c>
      <c r="R310" s="31">
        <v>36617</v>
      </c>
      <c r="S310" s="47">
        <v>37865</v>
      </c>
      <c r="T310" s="39">
        <v>42</v>
      </c>
      <c r="U310" s="40">
        <v>0</v>
      </c>
      <c r="V310" s="40">
        <v>0</v>
      </c>
      <c r="W310" s="40"/>
      <c r="X310" s="23"/>
      <c r="Y310" s="23"/>
      <c r="Z310" s="23"/>
      <c r="AA310" s="23"/>
      <c r="AB310" s="23"/>
      <c r="AC310" s="36"/>
      <c r="AD310" s="36"/>
      <c r="AE310" s="23"/>
      <c r="AF310" s="23"/>
      <c r="AG310" s="23"/>
      <c r="AH310" s="23"/>
      <c r="AI310" s="23"/>
      <c r="AJ310" s="36"/>
      <c r="AK310" s="23"/>
    </row>
    <row r="311" spans="1:37" hidden="1" x14ac:dyDescent="0.3">
      <c r="B311" s="23" t="s">
        <v>302</v>
      </c>
      <c r="C311" s="34"/>
      <c r="D311" s="23"/>
      <c r="E311" s="23"/>
      <c r="F311" s="23"/>
      <c r="G311" s="35"/>
      <c r="H311" s="36"/>
      <c r="I311" s="36"/>
      <c r="J311" s="35"/>
      <c r="K311" s="35"/>
      <c r="L311" s="30" t="s">
        <v>717</v>
      </c>
      <c r="M311" s="30" t="s">
        <v>312</v>
      </c>
      <c r="N311" s="24"/>
      <c r="O311" s="24" t="s">
        <v>319</v>
      </c>
      <c r="P311" s="23"/>
      <c r="Q311" s="30" t="s">
        <v>304</v>
      </c>
      <c r="R311" s="31">
        <v>35065</v>
      </c>
      <c r="S311" s="47">
        <v>36586</v>
      </c>
      <c r="T311" s="39">
        <v>51</v>
      </c>
      <c r="U311" s="40">
        <v>0</v>
      </c>
      <c r="V311" s="40">
        <v>0</v>
      </c>
      <c r="W311" s="40"/>
      <c r="X311" s="23"/>
      <c r="Y311" s="23"/>
      <c r="Z311" s="23"/>
      <c r="AA311" s="23"/>
      <c r="AB311" s="23"/>
      <c r="AC311" s="36"/>
      <c r="AD311" s="36"/>
      <c r="AE311" s="23"/>
      <c r="AF311" s="23"/>
      <c r="AG311" s="23"/>
      <c r="AH311" s="23"/>
      <c r="AI311" s="23"/>
      <c r="AJ311" s="36"/>
      <c r="AK311" s="23"/>
    </row>
    <row r="312" spans="1:37" hidden="1" x14ac:dyDescent="0.3">
      <c r="B312" s="23" t="s">
        <v>302</v>
      </c>
      <c r="C312" s="34"/>
      <c r="D312" s="23"/>
      <c r="E312" s="23"/>
      <c r="F312" s="23"/>
      <c r="G312" s="35"/>
      <c r="H312" s="36"/>
      <c r="I312" s="36"/>
      <c r="J312" s="35"/>
      <c r="K312" s="35"/>
      <c r="L312" s="60" t="s">
        <v>717</v>
      </c>
      <c r="M312" s="30" t="s">
        <v>313</v>
      </c>
      <c r="N312" s="24"/>
      <c r="O312" s="24" t="s">
        <v>723</v>
      </c>
      <c r="P312" s="23" t="s">
        <v>66</v>
      </c>
      <c r="Q312" s="30" t="s">
        <v>304</v>
      </c>
      <c r="R312" s="31">
        <v>33848</v>
      </c>
      <c r="S312" s="47">
        <v>35034</v>
      </c>
      <c r="T312" s="39">
        <v>40</v>
      </c>
      <c r="U312" s="40">
        <v>0</v>
      </c>
      <c r="V312" s="40">
        <v>1</v>
      </c>
      <c r="W312" s="40"/>
      <c r="X312" s="23"/>
      <c r="Y312" s="23"/>
      <c r="Z312" s="23"/>
      <c r="AA312" s="23"/>
      <c r="AB312" s="23"/>
      <c r="AC312" s="36"/>
      <c r="AD312" s="36"/>
      <c r="AE312" s="23"/>
      <c r="AF312" s="23"/>
      <c r="AG312" s="23"/>
      <c r="AH312" s="23"/>
      <c r="AI312" s="23"/>
      <c r="AJ312" s="36"/>
      <c r="AK312" s="23"/>
    </row>
    <row r="313" spans="1:37" ht="33" hidden="1" x14ac:dyDescent="0.3">
      <c r="B313" s="23" t="s">
        <v>302</v>
      </c>
      <c r="C313" s="34"/>
      <c r="D313" s="23"/>
      <c r="E313" s="23"/>
      <c r="F313" s="23"/>
      <c r="G313" s="35"/>
      <c r="H313" s="36"/>
      <c r="I313" s="36"/>
      <c r="J313" s="35"/>
      <c r="K313" s="35"/>
      <c r="L313" s="24" t="s">
        <v>717</v>
      </c>
      <c r="M313" s="30" t="s">
        <v>314</v>
      </c>
      <c r="N313" s="44"/>
      <c r="O313" s="24" t="s">
        <v>751</v>
      </c>
      <c r="P313" s="23" t="s">
        <v>66</v>
      </c>
      <c r="Q313" s="30" t="s">
        <v>304</v>
      </c>
      <c r="R313" s="31">
        <v>33147</v>
      </c>
      <c r="S313" s="47">
        <v>33786</v>
      </c>
      <c r="T313" s="39">
        <v>22</v>
      </c>
      <c r="U313" s="40">
        <v>0</v>
      </c>
      <c r="V313" s="40">
        <v>0</v>
      </c>
      <c r="W313" s="40"/>
      <c r="X313" s="23"/>
      <c r="Y313" s="23"/>
      <c r="Z313" s="23"/>
      <c r="AA313" s="23"/>
      <c r="AB313" s="23"/>
      <c r="AC313" s="36"/>
      <c r="AD313" s="36"/>
      <c r="AE313" s="23"/>
      <c r="AF313" s="23"/>
      <c r="AG313" s="23"/>
      <c r="AH313" s="23"/>
      <c r="AI313" s="23"/>
      <c r="AJ313" s="36"/>
      <c r="AK313" s="23"/>
    </row>
    <row r="314" spans="1:37" hidden="1" x14ac:dyDescent="0.3">
      <c r="B314" s="23"/>
      <c r="C314" s="34"/>
      <c r="D314" s="23"/>
      <c r="E314" s="23"/>
      <c r="F314" s="23"/>
      <c r="G314" s="35"/>
      <c r="H314" s="36"/>
      <c r="I314" s="36"/>
      <c r="J314" s="35"/>
      <c r="K314" s="35"/>
      <c r="L314" s="24"/>
      <c r="M314" s="30"/>
      <c r="N314" s="44"/>
      <c r="O314" s="24"/>
      <c r="P314" s="23"/>
      <c r="Q314" s="30"/>
      <c r="R314" s="31"/>
      <c r="S314" s="47"/>
      <c r="T314" s="39"/>
      <c r="U314" s="40"/>
      <c r="V314" s="40"/>
      <c r="W314" s="40"/>
      <c r="X314" s="23"/>
      <c r="Y314" s="23"/>
      <c r="Z314" s="23"/>
      <c r="AA314" s="23"/>
      <c r="AB314" s="23"/>
      <c r="AC314" s="36"/>
      <c r="AD314" s="36"/>
      <c r="AE314" s="23"/>
      <c r="AF314" s="23"/>
      <c r="AG314" s="23"/>
      <c r="AH314" s="23"/>
      <c r="AI314" s="23"/>
      <c r="AJ314" s="36"/>
      <c r="AK314" s="23"/>
    </row>
    <row r="315" spans="1:37" x14ac:dyDescent="0.3">
      <c r="A315">
        <v>21</v>
      </c>
      <c r="B315" s="23" t="s">
        <v>315</v>
      </c>
      <c r="C315" s="34">
        <v>21952</v>
      </c>
      <c r="D315" s="23" t="s">
        <v>752</v>
      </c>
      <c r="E315" s="23" t="s">
        <v>753</v>
      </c>
      <c r="F315" s="23" t="s">
        <v>754</v>
      </c>
      <c r="G315" s="35">
        <v>44440</v>
      </c>
      <c r="H315" s="55">
        <v>1.3333333333333333</v>
      </c>
      <c r="I315" s="36" t="s">
        <v>755</v>
      </c>
      <c r="J315" s="35">
        <v>44413</v>
      </c>
      <c r="K315" s="35" t="s">
        <v>859</v>
      </c>
      <c r="L315" s="23" t="s">
        <v>63</v>
      </c>
      <c r="M315" s="23" t="s">
        <v>316</v>
      </c>
      <c r="N315" s="25" t="s">
        <v>64</v>
      </c>
      <c r="O315" s="24" t="s">
        <v>723</v>
      </c>
      <c r="P315" s="23" t="s">
        <v>66</v>
      </c>
      <c r="Q315" s="32" t="s">
        <v>102</v>
      </c>
      <c r="R315" s="31">
        <v>43617</v>
      </c>
      <c r="S315" s="31">
        <v>44348</v>
      </c>
      <c r="T315" s="39">
        <v>25</v>
      </c>
      <c r="U315" s="40">
        <v>0</v>
      </c>
      <c r="V315" s="40">
        <v>0</v>
      </c>
      <c r="W315" s="40"/>
      <c r="X315" s="23">
        <v>7</v>
      </c>
      <c r="Y315" s="23">
        <v>3</v>
      </c>
      <c r="Z315" s="23"/>
      <c r="AA315" s="23" t="s">
        <v>669</v>
      </c>
      <c r="AB315" s="23" t="s">
        <v>670</v>
      </c>
      <c r="AC315" s="36">
        <v>27.92</v>
      </c>
      <c r="AD315" s="36">
        <v>11.08</v>
      </c>
      <c r="AE315" s="23">
        <v>5</v>
      </c>
      <c r="AF315" s="23">
        <v>1</v>
      </c>
      <c r="AG315" s="23">
        <v>9</v>
      </c>
      <c r="AH315" s="23">
        <v>1.17</v>
      </c>
      <c r="AI315" s="23">
        <v>19.079999999999998</v>
      </c>
      <c r="AJ315" s="36">
        <v>8.5</v>
      </c>
      <c r="AK315" s="23">
        <v>4</v>
      </c>
    </row>
    <row r="316" spans="1:37" hidden="1" x14ac:dyDescent="0.3">
      <c r="B316" s="23" t="s">
        <v>315</v>
      </c>
      <c r="C316" s="34"/>
      <c r="D316" s="23"/>
      <c r="E316" s="23"/>
      <c r="F316" s="23"/>
      <c r="G316" s="35"/>
      <c r="H316" s="36"/>
      <c r="I316" s="36"/>
      <c r="J316" s="35"/>
      <c r="K316" s="35"/>
      <c r="L316" s="23" t="s">
        <v>756</v>
      </c>
      <c r="M316" s="32" t="s">
        <v>317</v>
      </c>
      <c r="N316" s="24"/>
      <c r="O316" s="24"/>
      <c r="P316" s="23" t="s">
        <v>66</v>
      </c>
      <c r="Q316" s="23" t="s">
        <v>102</v>
      </c>
      <c r="R316" s="31">
        <v>42979</v>
      </c>
      <c r="S316" s="31">
        <v>43344</v>
      </c>
      <c r="T316" s="39">
        <v>13</v>
      </c>
      <c r="U316" s="40">
        <v>27</v>
      </c>
      <c r="V316" s="40">
        <v>0</v>
      </c>
      <c r="W316" s="40"/>
      <c r="X316" s="23"/>
      <c r="Y316" s="23"/>
      <c r="Z316" s="23"/>
      <c r="AA316" s="23"/>
      <c r="AB316" s="23"/>
      <c r="AC316" s="36"/>
      <c r="AD316" s="36"/>
      <c r="AE316" s="23"/>
      <c r="AF316" s="23"/>
      <c r="AG316" s="23"/>
      <c r="AH316" s="23"/>
      <c r="AI316" s="23"/>
      <c r="AJ316" s="36"/>
      <c r="AK316" s="23"/>
    </row>
    <row r="317" spans="1:37" hidden="1" x14ac:dyDescent="0.3">
      <c r="B317" s="23" t="s">
        <v>315</v>
      </c>
      <c r="C317" s="34"/>
      <c r="D317" s="23"/>
      <c r="E317" s="23"/>
      <c r="F317" s="23"/>
      <c r="G317" s="35"/>
      <c r="H317" s="36"/>
      <c r="I317" s="36"/>
      <c r="J317" s="35"/>
      <c r="K317" s="35"/>
      <c r="L317" s="30" t="s">
        <v>717</v>
      </c>
      <c r="M317" s="30" t="s">
        <v>318</v>
      </c>
      <c r="N317" s="24"/>
      <c r="O317" s="24" t="s">
        <v>757</v>
      </c>
      <c r="P317" s="23" t="s">
        <v>66</v>
      </c>
      <c r="Q317" s="30" t="s">
        <v>320</v>
      </c>
      <c r="R317" s="31">
        <v>42430</v>
      </c>
      <c r="S317" s="47">
        <v>42887</v>
      </c>
      <c r="T317" s="39">
        <v>16</v>
      </c>
      <c r="U317" s="40">
        <v>0</v>
      </c>
      <c r="V317" s="40">
        <v>0</v>
      </c>
      <c r="W317" s="40"/>
      <c r="X317" s="23"/>
      <c r="Y317" s="23"/>
      <c r="Z317" s="23"/>
      <c r="AA317" s="23"/>
      <c r="AB317" s="23"/>
      <c r="AC317" s="36"/>
      <c r="AD317" s="36"/>
      <c r="AE317" s="23"/>
      <c r="AF317" s="23"/>
      <c r="AG317" s="23"/>
      <c r="AH317" s="23"/>
      <c r="AI317" s="23"/>
      <c r="AJ317" s="36"/>
      <c r="AK317" s="23"/>
    </row>
    <row r="318" spans="1:37" ht="33" hidden="1" x14ac:dyDescent="0.3">
      <c r="B318" s="23" t="s">
        <v>315</v>
      </c>
      <c r="C318" s="34"/>
      <c r="D318" s="23"/>
      <c r="E318" s="23"/>
      <c r="F318" s="23"/>
      <c r="G318" s="35"/>
      <c r="H318" s="36"/>
      <c r="I318" s="36"/>
      <c r="J318" s="35"/>
      <c r="K318" s="35"/>
      <c r="L318" s="30" t="s">
        <v>73</v>
      </c>
      <c r="M318" s="32" t="s">
        <v>321</v>
      </c>
      <c r="N318" s="24"/>
      <c r="O318" s="24" t="s">
        <v>758</v>
      </c>
      <c r="P318" s="23"/>
      <c r="Q318" s="30" t="s">
        <v>320</v>
      </c>
      <c r="R318" s="31">
        <v>41153</v>
      </c>
      <c r="S318" s="47">
        <v>42278</v>
      </c>
      <c r="T318" s="39">
        <v>38</v>
      </c>
      <c r="U318" s="40">
        <v>100</v>
      </c>
      <c r="V318" s="40">
        <v>0</v>
      </c>
      <c r="W318" s="40"/>
      <c r="X318" s="23"/>
      <c r="Y318" s="23"/>
      <c r="Z318" s="23"/>
      <c r="AA318" s="23"/>
      <c r="AB318" s="23"/>
      <c r="AC318" s="36"/>
      <c r="AD318" s="36"/>
      <c r="AE318" s="23"/>
      <c r="AF318" s="23"/>
      <c r="AG318" s="23"/>
      <c r="AH318" s="23"/>
      <c r="AI318" s="23"/>
      <c r="AJ318" s="36"/>
      <c r="AK318" s="23"/>
    </row>
    <row r="319" spans="1:37" ht="49.5" hidden="1" x14ac:dyDescent="0.3">
      <c r="B319" s="23" t="s">
        <v>315</v>
      </c>
      <c r="C319" s="34"/>
      <c r="D319" s="23"/>
      <c r="E319" s="23"/>
      <c r="F319" s="23"/>
      <c r="G319" s="35"/>
      <c r="H319" s="36"/>
      <c r="I319" s="36"/>
      <c r="J319" s="35"/>
      <c r="K319" s="35"/>
      <c r="L319" s="30" t="s">
        <v>322</v>
      </c>
      <c r="M319" s="30" t="s">
        <v>323</v>
      </c>
      <c r="N319" s="44" t="s">
        <v>64</v>
      </c>
      <c r="O319" s="24" t="s">
        <v>723</v>
      </c>
      <c r="P319" s="23" t="s">
        <v>66</v>
      </c>
      <c r="Q319" s="30" t="s">
        <v>204</v>
      </c>
      <c r="R319" s="31">
        <v>40513</v>
      </c>
      <c r="S319" s="47">
        <v>40909</v>
      </c>
      <c r="T319" s="39">
        <v>14</v>
      </c>
      <c r="U319" s="40">
        <v>0</v>
      </c>
      <c r="V319" s="40">
        <v>0</v>
      </c>
      <c r="W319" s="40"/>
      <c r="X319" s="23"/>
      <c r="Y319" s="23"/>
      <c r="Z319" s="23"/>
      <c r="AA319" s="23"/>
      <c r="AB319" s="23"/>
      <c r="AC319" s="36"/>
      <c r="AD319" s="36"/>
      <c r="AE319" s="23"/>
      <c r="AF319" s="23"/>
      <c r="AG319" s="23"/>
      <c r="AH319" s="23"/>
      <c r="AI319" s="23"/>
      <c r="AJ319" s="36"/>
      <c r="AK319" s="23"/>
    </row>
    <row r="320" spans="1:37" hidden="1" x14ac:dyDescent="0.3">
      <c r="B320" s="23" t="s">
        <v>315</v>
      </c>
      <c r="C320" s="34"/>
      <c r="D320" s="23"/>
      <c r="E320" s="23"/>
      <c r="F320" s="23"/>
      <c r="G320" s="35"/>
      <c r="H320" s="36"/>
      <c r="I320" s="36"/>
      <c r="J320" s="35"/>
      <c r="K320" s="35"/>
      <c r="L320" s="30" t="s">
        <v>717</v>
      </c>
      <c r="M320" s="30" t="s">
        <v>324</v>
      </c>
      <c r="N320" s="25"/>
      <c r="O320" s="24" t="s">
        <v>738</v>
      </c>
      <c r="P320" s="23" t="s">
        <v>66</v>
      </c>
      <c r="Q320" s="30" t="s">
        <v>101</v>
      </c>
      <c r="R320" s="31">
        <v>39934</v>
      </c>
      <c r="S320" s="47">
        <v>40330</v>
      </c>
      <c r="T320" s="39">
        <v>14</v>
      </c>
      <c r="U320" s="40">
        <v>113</v>
      </c>
      <c r="V320" s="40">
        <v>0</v>
      </c>
      <c r="W320" s="40"/>
      <c r="X320" s="23"/>
      <c r="Y320" s="23"/>
      <c r="Z320" s="23"/>
      <c r="AA320" s="23"/>
      <c r="AB320" s="23"/>
      <c r="AC320" s="36"/>
      <c r="AD320" s="36"/>
      <c r="AE320" s="23"/>
      <c r="AF320" s="23"/>
      <c r="AG320" s="23"/>
      <c r="AH320" s="23"/>
      <c r="AI320" s="23"/>
      <c r="AJ320" s="36"/>
      <c r="AK320" s="23"/>
    </row>
    <row r="321" spans="1:37" hidden="1" x14ac:dyDescent="0.3">
      <c r="B321" s="23" t="s">
        <v>315</v>
      </c>
      <c r="C321" s="34"/>
      <c r="D321" s="23"/>
      <c r="E321" s="23"/>
      <c r="F321" s="23"/>
      <c r="G321" s="35"/>
      <c r="H321" s="36"/>
      <c r="I321" s="36"/>
      <c r="J321" s="35"/>
      <c r="K321" s="35"/>
      <c r="L321" s="30" t="s">
        <v>717</v>
      </c>
      <c r="M321" s="30" t="s">
        <v>325</v>
      </c>
      <c r="N321" s="24"/>
      <c r="O321" s="24" t="s">
        <v>723</v>
      </c>
      <c r="P321" s="23" t="s">
        <v>66</v>
      </c>
      <c r="Q321" s="30" t="s">
        <v>204</v>
      </c>
      <c r="R321" s="31">
        <v>38718</v>
      </c>
      <c r="S321" s="47">
        <v>39417</v>
      </c>
      <c r="T321" s="39">
        <v>24</v>
      </c>
      <c r="U321" s="40">
        <v>115</v>
      </c>
      <c r="V321" s="40">
        <v>0</v>
      </c>
      <c r="W321" s="40"/>
      <c r="X321" s="23"/>
      <c r="Y321" s="23"/>
      <c r="Z321" s="23"/>
      <c r="AA321" s="23"/>
      <c r="AB321" s="23"/>
      <c r="AC321" s="36"/>
      <c r="AD321" s="36"/>
      <c r="AE321" s="23"/>
      <c r="AF321" s="23"/>
      <c r="AG321" s="23"/>
      <c r="AH321" s="23"/>
      <c r="AI321" s="23"/>
      <c r="AJ321" s="36"/>
      <c r="AK321" s="23"/>
    </row>
    <row r="322" spans="1:37" ht="33" hidden="1" x14ac:dyDescent="0.3">
      <c r="B322" s="23" t="s">
        <v>315</v>
      </c>
      <c r="C322" s="34"/>
      <c r="D322" s="23"/>
      <c r="E322" s="23"/>
      <c r="F322" s="23"/>
      <c r="G322" s="35"/>
      <c r="H322" s="36"/>
      <c r="I322" s="36"/>
      <c r="J322" s="35"/>
      <c r="K322" s="35"/>
      <c r="L322" s="60" t="s">
        <v>383</v>
      </c>
      <c r="M322" s="30" t="s">
        <v>326</v>
      </c>
      <c r="N322" s="24"/>
      <c r="O322" s="24" t="s">
        <v>277</v>
      </c>
      <c r="P322" s="23" t="s">
        <v>186</v>
      </c>
      <c r="Q322" s="30" t="s">
        <v>327</v>
      </c>
      <c r="R322" s="31">
        <v>38504</v>
      </c>
      <c r="S322" s="47">
        <v>38687</v>
      </c>
      <c r="T322" s="39">
        <v>7</v>
      </c>
      <c r="U322" s="40">
        <v>96</v>
      </c>
      <c r="V322" s="40">
        <v>0</v>
      </c>
      <c r="W322" s="40"/>
      <c r="X322" s="23"/>
      <c r="Y322" s="23"/>
      <c r="Z322" s="23"/>
      <c r="AA322" s="23"/>
      <c r="AB322" s="23"/>
      <c r="AC322" s="36"/>
      <c r="AD322" s="36"/>
      <c r="AE322" s="23"/>
      <c r="AF322" s="23"/>
      <c r="AG322" s="23"/>
      <c r="AH322" s="23"/>
      <c r="AI322" s="23"/>
      <c r="AJ322" s="36"/>
      <c r="AK322" s="23"/>
    </row>
    <row r="323" spans="1:37" hidden="1" x14ac:dyDescent="0.3">
      <c r="B323" s="23" t="s">
        <v>315</v>
      </c>
      <c r="C323" s="34"/>
      <c r="D323" s="23"/>
      <c r="E323" s="23"/>
      <c r="F323" s="23"/>
      <c r="G323" s="35"/>
      <c r="H323" s="36"/>
      <c r="I323" s="36"/>
      <c r="J323" s="35"/>
      <c r="K323" s="35"/>
      <c r="L323" s="24" t="s">
        <v>329</v>
      </c>
      <c r="M323" s="30" t="s">
        <v>328</v>
      </c>
      <c r="N323" s="44"/>
      <c r="O323" s="24" t="s">
        <v>723</v>
      </c>
      <c r="P323" s="23"/>
      <c r="Q323" s="30" t="s">
        <v>282</v>
      </c>
      <c r="R323" s="31">
        <v>37591</v>
      </c>
      <c r="S323" s="47">
        <v>38322</v>
      </c>
      <c r="T323" s="39">
        <v>25</v>
      </c>
      <c r="U323" s="40">
        <v>88</v>
      </c>
      <c r="V323" s="40">
        <v>0</v>
      </c>
      <c r="W323" s="40"/>
      <c r="X323" s="23"/>
      <c r="Y323" s="23"/>
      <c r="Z323" s="23"/>
      <c r="AA323" s="23"/>
      <c r="AB323" s="23"/>
      <c r="AC323" s="36"/>
      <c r="AD323" s="36"/>
      <c r="AE323" s="23"/>
      <c r="AF323" s="23"/>
      <c r="AG323" s="23"/>
      <c r="AH323" s="23"/>
      <c r="AI323" s="23"/>
      <c r="AJ323" s="36"/>
      <c r="AK323" s="23"/>
    </row>
    <row r="324" spans="1:37" ht="33" hidden="1" x14ac:dyDescent="0.3">
      <c r="B324" s="23" t="s">
        <v>315</v>
      </c>
      <c r="C324" s="34"/>
      <c r="D324" s="23"/>
      <c r="E324" s="23"/>
      <c r="F324" s="23"/>
      <c r="G324" s="35"/>
      <c r="H324" s="36"/>
      <c r="I324" s="36"/>
      <c r="J324" s="35"/>
      <c r="K324" s="35"/>
      <c r="L324" s="30" t="s">
        <v>717</v>
      </c>
      <c r="M324" s="30" t="s">
        <v>330</v>
      </c>
      <c r="N324" s="24"/>
      <c r="O324" s="24" t="s">
        <v>759</v>
      </c>
      <c r="P324" s="23"/>
      <c r="Q324" s="30" t="s">
        <v>331</v>
      </c>
      <c r="R324" s="31">
        <v>36647</v>
      </c>
      <c r="S324" s="47">
        <v>37591</v>
      </c>
      <c r="T324" s="39">
        <v>32</v>
      </c>
      <c r="U324" s="40">
        <v>57</v>
      </c>
      <c r="V324" s="40">
        <v>0</v>
      </c>
      <c r="W324" s="40"/>
      <c r="X324" s="23"/>
      <c r="Y324" s="23"/>
      <c r="Z324" s="23"/>
      <c r="AA324" s="23"/>
      <c r="AB324" s="23"/>
      <c r="AC324" s="36"/>
      <c r="AD324" s="36"/>
      <c r="AE324" s="23"/>
      <c r="AF324" s="23"/>
      <c r="AG324" s="23"/>
      <c r="AH324" s="23"/>
      <c r="AI324" s="23"/>
      <c r="AJ324" s="36"/>
      <c r="AK324" s="23"/>
    </row>
    <row r="325" spans="1:37" hidden="1" x14ac:dyDescent="0.3">
      <c r="B325" s="23" t="s">
        <v>315</v>
      </c>
      <c r="C325" s="34"/>
      <c r="D325" s="23"/>
      <c r="E325" s="23"/>
      <c r="F325" s="23"/>
      <c r="G325" s="35"/>
      <c r="H325" s="36"/>
      <c r="I325" s="36"/>
      <c r="J325" s="35"/>
      <c r="K325" s="35"/>
      <c r="L325" s="30" t="s">
        <v>383</v>
      </c>
      <c r="M325" s="30" t="s">
        <v>332</v>
      </c>
      <c r="N325" s="24"/>
      <c r="O325" s="24" t="s">
        <v>277</v>
      </c>
      <c r="P325" s="23" t="s">
        <v>66</v>
      </c>
      <c r="Q325" s="30" t="s">
        <v>204</v>
      </c>
      <c r="R325" s="31">
        <v>35400</v>
      </c>
      <c r="S325" s="47">
        <v>36617</v>
      </c>
      <c r="T325" s="39">
        <v>41</v>
      </c>
      <c r="U325" s="40">
        <v>50</v>
      </c>
      <c r="V325" s="40">
        <v>0</v>
      </c>
      <c r="W325" s="40"/>
      <c r="X325" s="23"/>
      <c r="Y325" s="23"/>
      <c r="Z325" s="23"/>
      <c r="AA325" s="23"/>
      <c r="AB325" s="23"/>
      <c r="AC325" s="36"/>
      <c r="AD325" s="36"/>
      <c r="AE325" s="23"/>
      <c r="AF325" s="23"/>
      <c r="AG325" s="23"/>
      <c r="AH325" s="23"/>
      <c r="AI325" s="23"/>
      <c r="AJ325" s="36"/>
      <c r="AK325" s="23"/>
    </row>
    <row r="326" spans="1:37" hidden="1" x14ac:dyDescent="0.3">
      <c r="B326" s="23" t="s">
        <v>315</v>
      </c>
      <c r="C326" s="34"/>
      <c r="D326" s="23"/>
      <c r="E326" s="23"/>
      <c r="F326" s="23"/>
      <c r="G326" s="35"/>
      <c r="H326" s="36"/>
      <c r="I326" s="36"/>
      <c r="J326" s="35"/>
      <c r="K326" s="35"/>
      <c r="L326" s="30" t="s">
        <v>333</v>
      </c>
      <c r="M326" s="30" t="s">
        <v>334</v>
      </c>
      <c r="N326" s="25"/>
      <c r="O326" s="24" t="s">
        <v>760</v>
      </c>
      <c r="P326" s="23"/>
      <c r="Q326" s="30" t="s">
        <v>335</v>
      </c>
      <c r="R326" s="31">
        <v>34608</v>
      </c>
      <c r="S326" s="47">
        <v>35339</v>
      </c>
      <c r="T326" s="39">
        <v>25</v>
      </c>
      <c r="U326" s="40">
        <v>37</v>
      </c>
      <c r="V326" s="40">
        <v>0</v>
      </c>
      <c r="W326" s="40"/>
      <c r="X326" s="23"/>
      <c r="Y326" s="23"/>
      <c r="Z326" s="23"/>
      <c r="AA326" s="23"/>
      <c r="AB326" s="23"/>
      <c r="AC326" s="36"/>
      <c r="AD326" s="36"/>
      <c r="AE326" s="23"/>
      <c r="AF326" s="23"/>
      <c r="AG326" s="23"/>
      <c r="AH326" s="23"/>
      <c r="AI326" s="23"/>
      <c r="AJ326" s="36"/>
      <c r="AK326" s="23"/>
    </row>
    <row r="327" spans="1:37" ht="33" hidden="1" x14ac:dyDescent="0.3">
      <c r="B327" s="23" t="s">
        <v>315</v>
      </c>
      <c r="C327" s="34"/>
      <c r="D327" s="23"/>
      <c r="E327" s="23"/>
      <c r="F327" s="23"/>
      <c r="G327" s="35"/>
      <c r="H327" s="36"/>
      <c r="I327" s="36"/>
      <c r="J327" s="35"/>
      <c r="K327" s="35"/>
      <c r="L327" s="30" t="s">
        <v>717</v>
      </c>
      <c r="M327" s="30" t="s">
        <v>336</v>
      </c>
      <c r="N327" s="24"/>
      <c r="O327" s="27" t="s">
        <v>723</v>
      </c>
      <c r="P327" s="23" t="s">
        <v>66</v>
      </c>
      <c r="Q327" s="30" t="s">
        <v>102</v>
      </c>
      <c r="R327" s="31">
        <v>33573</v>
      </c>
      <c r="S327" s="47">
        <v>33970</v>
      </c>
      <c r="T327" s="39">
        <v>14</v>
      </c>
      <c r="U327" s="40">
        <v>0</v>
      </c>
      <c r="V327" s="40">
        <v>49</v>
      </c>
      <c r="W327" s="40"/>
      <c r="X327" s="23"/>
      <c r="Y327" s="23"/>
      <c r="Z327" s="23"/>
      <c r="AA327" s="23"/>
      <c r="AB327" s="23"/>
      <c r="AC327" s="36"/>
      <c r="AD327" s="36"/>
      <c r="AE327" s="23"/>
      <c r="AF327" s="23"/>
      <c r="AG327" s="23"/>
      <c r="AH327" s="23"/>
      <c r="AI327" s="23"/>
      <c r="AJ327" s="36"/>
      <c r="AK327" s="23"/>
    </row>
    <row r="328" spans="1:37" ht="33" hidden="1" x14ac:dyDescent="0.3">
      <c r="B328" s="23" t="s">
        <v>315</v>
      </c>
      <c r="C328" s="34"/>
      <c r="D328" s="23"/>
      <c r="E328" s="23"/>
      <c r="F328" s="23"/>
      <c r="G328" s="35"/>
      <c r="H328" s="36"/>
      <c r="I328" s="36"/>
      <c r="J328" s="35"/>
      <c r="K328" s="35"/>
      <c r="L328" s="27" t="s">
        <v>329</v>
      </c>
      <c r="M328" s="27" t="s">
        <v>337</v>
      </c>
      <c r="N328" s="24"/>
      <c r="O328" s="27" t="s">
        <v>751</v>
      </c>
      <c r="P328" s="23" t="s">
        <v>66</v>
      </c>
      <c r="Q328" s="23" t="s">
        <v>102</v>
      </c>
      <c r="R328" s="31">
        <v>30803</v>
      </c>
      <c r="S328" s="31">
        <v>32203</v>
      </c>
      <c r="T328" s="39">
        <v>47</v>
      </c>
      <c r="U328" s="40">
        <v>0</v>
      </c>
      <c r="V328" s="40">
        <v>11</v>
      </c>
      <c r="W328" s="40"/>
      <c r="X328" s="23"/>
      <c r="Y328" s="23"/>
      <c r="Z328" s="23"/>
      <c r="AA328" s="23"/>
      <c r="AB328" s="23"/>
      <c r="AC328" s="36"/>
      <c r="AD328" s="36"/>
      <c r="AE328" s="23"/>
      <c r="AF328" s="23"/>
      <c r="AG328" s="23"/>
      <c r="AH328" s="23"/>
      <c r="AI328" s="23"/>
      <c r="AJ328" s="36"/>
      <c r="AK328" s="23"/>
    </row>
    <row r="329" spans="1:37" hidden="1" x14ac:dyDescent="0.3">
      <c r="B329" s="23"/>
      <c r="C329" s="34"/>
      <c r="D329" s="23"/>
      <c r="E329" s="23"/>
      <c r="F329" s="23"/>
      <c r="G329" s="35"/>
      <c r="H329" s="36"/>
      <c r="I329" s="36"/>
      <c r="J329" s="35"/>
      <c r="K329" s="35"/>
      <c r="L329" s="27"/>
      <c r="M329" s="27"/>
      <c r="N329" s="24"/>
      <c r="O329" s="27"/>
      <c r="P329" s="23"/>
      <c r="Q329" s="23"/>
      <c r="R329" s="31"/>
      <c r="S329" s="31"/>
      <c r="T329" s="39"/>
      <c r="U329" s="40"/>
      <c r="V329" s="40"/>
      <c r="W329" s="40"/>
      <c r="X329" s="23"/>
      <c r="Y329" s="23"/>
      <c r="Z329" s="23"/>
      <c r="AA329" s="23"/>
      <c r="AB329" s="23"/>
      <c r="AC329" s="36"/>
      <c r="AD329" s="36"/>
      <c r="AE329" s="23"/>
      <c r="AF329" s="23"/>
      <c r="AG329" s="23"/>
      <c r="AH329" s="23"/>
      <c r="AI329" s="23"/>
      <c r="AJ329" s="36"/>
      <c r="AK329" s="23"/>
    </row>
    <row r="330" spans="1:37" x14ac:dyDescent="0.3">
      <c r="A330">
        <v>22</v>
      </c>
      <c r="B330" s="23" t="s">
        <v>338</v>
      </c>
      <c r="C330" s="34">
        <v>23541</v>
      </c>
      <c r="D330" s="23" t="s">
        <v>713</v>
      </c>
      <c r="E330" s="23" t="s">
        <v>714</v>
      </c>
      <c r="F330" s="23" t="s">
        <v>715</v>
      </c>
      <c r="G330" s="35">
        <v>43878</v>
      </c>
      <c r="H330" s="55">
        <v>2.8333333333333335</v>
      </c>
      <c r="I330" s="36" t="s">
        <v>761</v>
      </c>
      <c r="J330" s="35"/>
      <c r="K330" s="35"/>
      <c r="L330" s="33"/>
      <c r="M330" s="27" t="s">
        <v>762</v>
      </c>
      <c r="N330" s="27"/>
      <c r="O330" s="23" t="s">
        <v>319</v>
      </c>
      <c r="P330" s="23"/>
      <c r="Q330" s="23"/>
      <c r="R330" s="45">
        <v>43606</v>
      </c>
      <c r="S330" s="45">
        <v>43773</v>
      </c>
      <c r="T330" s="39">
        <v>6</v>
      </c>
      <c r="U330" s="40">
        <v>0</v>
      </c>
      <c r="V330" s="40">
        <v>0</v>
      </c>
      <c r="W330" s="40"/>
      <c r="X330" s="23"/>
      <c r="Y330" s="23"/>
      <c r="Z330" s="23"/>
      <c r="AA330" s="23" t="s">
        <v>669</v>
      </c>
      <c r="AB330" s="23" t="s">
        <v>670</v>
      </c>
      <c r="AC330" s="36">
        <v>32.75</v>
      </c>
      <c r="AD330" s="36">
        <v>0</v>
      </c>
      <c r="AE330" s="23">
        <v>0</v>
      </c>
      <c r="AF330" s="23">
        <v>0</v>
      </c>
      <c r="AG330" s="23">
        <v>10</v>
      </c>
      <c r="AH330" s="23">
        <v>0</v>
      </c>
      <c r="AI330" s="23">
        <v>22.08</v>
      </c>
      <c r="AJ330" s="36">
        <v>32.75</v>
      </c>
      <c r="AK330" s="23">
        <v>18</v>
      </c>
    </row>
    <row r="331" spans="1:37" hidden="1" x14ac:dyDescent="0.3">
      <c r="B331" s="23" t="s">
        <v>338</v>
      </c>
      <c r="C331" s="34"/>
      <c r="D331" s="23"/>
      <c r="E331" s="23"/>
      <c r="F331" s="23"/>
      <c r="G331" s="35"/>
      <c r="H331" s="36"/>
      <c r="I331" s="36"/>
      <c r="J331" s="35"/>
      <c r="K331" s="35"/>
      <c r="L331" s="33"/>
      <c r="M331" s="27" t="s">
        <v>763</v>
      </c>
      <c r="N331" s="27"/>
      <c r="O331" s="23" t="s">
        <v>749</v>
      </c>
      <c r="P331" s="23"/>
      <c r="Q331" s="23"/>
      <c r="R331" s="45">
        <v>41500</v>
      </c>
      <c r="S331" s="45">
        <v>43605</v>
      </c>
      <c r="T331" s="39">
        <v>70</v>
      </c>
      <c r="U331" s="40">
        <v>88</v>
      </c>
      <c r="V331" s="40">
        <v>0</v>
      </c>
      <c r="W331" s="40"/>
      <c r="X331" s="23"/>
      <c r="Y331" s="23"/>
      <c r="Z331" s="23"/>
      <c r="AA331" s="23"/>
      <c r="AB331" s="23"/>
      <c r="AC331" s="36"/>
      <c r="AD331" s="36"/>
      <c r="AE331" s="23"/>
      <c r="AF331" s="23"/>
      <c r="AG331" s="23"/>
      <c r="AH331" s="23"/>
      <c r="AI331" s="23"/>
      <c r="AJ331" s="36"/>
      <c r="AK331" s="23"/>
    </row>
    <row r="332" spans="1:37" hidden="1" x14ac:dyDescent="0.3">
      <c r="B332" s="23" t="s">
        <v>338</v>
      </c>
      <c r="C332" s="34"/>
      <c r="D332" s="23"/>
      <c r="E332" s="23"/>
      <c r="F332" s="23"/>
      <c r="G332" s="35"/>
      <c r="H332" s="36"/>
      <c r="I332" s="36"/>
      <c r="J332" s="35"/>
      <c r="K332" s="35"/>
      <c r="L332" s="33"/>
      <c r="M332" s="24" t="s">
        <v>764</v>
      </c>
      <c r="N332" s="24"/>
      <c r="O332" s="23" t="s">
        <v>277</v>
      </c>
      <c r="P332" s="23"/>
      <c r="Q332" s="23"/>
      <c r="R332" s="45">
        <v>39568</v>
      </c>
      <c r="S332" s="45">
        <v>41394</v>
      </c>
      <c r="T332" s="39">
        <v>61</v>
      </c>
      <c r="U332" s="40">
        <v>0</v>
      </c>
      <c r="V332" s="40">
        <v>0</v>
      </c>
      <c r="W332" s="40"/>
      <c r="X332" s="23"/>
      <c r="Y332" s="23"/>
      <c r="Z332" s="23"/>
      <c r="AA332" s="23"/>
      <c r="AB332" s="23"/>
      <c r="AC332" s="36"/>
      <c r="AD332" s="36"/>
      <c r="AE332" s="23"/>
      <c r="AF332" s="23"/>
      <c r="AG332" s="23"/>
      <c r="AH332" s="23"/>
      <c r="AI332" s="23"/>
      <c r="AJ332" s="36"/>
      <c r="AK332" s="23"/>
    </row>
    <row r="333" spans="1:37" hidden="1" x14ac:dyDescent="0.3">
      <c r="B333" s="23" t="s">
        <v>338</v>
      </c>
      <c r="C333" s="34"/>
      <c r="D333" s="23"/>
      <c r="E333" s="23"/>
      <c r="F333" s="23"/>
      <c r="G333" s="35"/>
      <c r="H333" s="36"/>
      <c r="I333" s="36"/>
      <c r="J333" s="35"/>
      <c r="K333" s="35"/>
      <c r="L333" s="33"/>
      <c r="M333" s="24" t="s">
        <v>765</v>
      </c>
      <c r="N333" s="24"/>
      <c r="O333" s="23" t="s">
        <v>723</v>
      </c>
      <c r="P333" s="23"/>
      <c r="Q333" s="23"/>
      <c r="R333" s="45">
        <v>39518</v>
      </c>
      <c r="S333" s="45">
        <v>39567</v>
      </c>
      <c r="T333" s="39">
        <v>2</v>
      </c>
      <c r="U333" s="40">
        <v>126</v>
      </c>
      <c r="V333" s="40">
        <v>0</v>
      </c>
      <c r="W333" s="40"/>
      <c r="X333" s="23"/>
      <c r="Y333" s="23"/>
      <c r="Z333" s="23"/>
      <c r="AA333" s="23"/>
      <c r="AB333" s="23"/>
      <c r="AC333" s="36"/>
      <c r="AD333" s="36"/>
      <c r="AE333" s="23"/>
      <c r="AF333" s="23"/>
      <c r="AG333" s="23"/>
      <c r="AH333" s="23"/>
      <c r="AI333" s="23"/>
      <c r="AJ333" s="36"/>
      <c r="AK333" s="23"/>
    </row>
    <row r="334" spans="1:37" hidden="1" x14ac:dyDescent="0.3">
      <c r="B334" s="23" t="s">
        <v>338</v>
      </c>
      <c r="C334" s="34"/>
      <c r="D334" s="23"/>
      <c r="E334" s="23"/>
      <c r="F334" s="23"/>
      <c r="G334" s="35"/>
      <c r="H334" s="36"/>
      <c r="I334" s="36"/>
      <c r="J334" s="35"/>
      <c r="K334" s="35"/>
      <c r="L334" s="33"/>
      <c r="M334" s="27" t="s">
        <v>766</v>
      </c>
      <c r="N334" s="24"/>
      <c r="O334" s="23" t="s">
        <v>723</v>
      </c>
      <c r="P334" s="23"/>
      <c r="Q334" s="23"/>
      <c r="R334" s="45">
        <v>38076</v>
      </c>
      <c r="S334" s="45">
        <v>39517</v>
      </c>
      <c r="T334" s="39">
        <v>48</v>
      </c>
      <c r="U334" s="40">
        <v>136</v>
      </c>
      <c r="V334" s="40">
        <v>0</v>
      </c>
      <c r="W334" s="40"/>
      <c r="X334" s="23"/>
      <c r="Y334" s="23"/>
      <c r="Z334" s="23"/>
      <c r="AA334" s="23"/>
      <c r="AB334" s="23"/>
      <c r="AC334" s="36"/>
      <c r="AD334" s="36"/>
      <c r="AE334" s="23"/>
      <c r="AF334" s="23"/>
      <c r="AG334" s="23"/>
      <c r="AH334" s="23"/>
      <c r="AI334" s="23"/>
      <c r="AJ334" s="36"/>
      <c r="AK334" s="23"/>
    </row>
    <row r="335" spans="1:37" hidden="1" x14ac:dyDescent="0.3">
      <c r="B335" s="23" t="s">
        <v>338</v>
      </c>
      <c r="C335" s="34"/>
      <c r="D335" s="23"/>
      <c r="E335" s="23"/>
      <c r="F335" s="23"/>
      <c r="G335" s="35"/>
      <c r="H335" s="36"/>
      <c r="I335" s="36"/>
      <c r="J335" s="35"/>
      <c r="K335" s="35"/>
      <c r="L335" s="27"/>
      <c r="M335" s="27" t="s">
        <v>767</v>
      </c>
      <c r="N335" s="24"/>
      <c r="O335" s="23"/>
      <c r="P335" s="23"/>
      <c r="Q335" s="23"/>
      <c r="R335" s="45">
        <v>38006</v>
      </c>
      <c r="S335" s="45">
        <v>38075</v>
      </c>
      <c r="T335" s="39">
        <v>3</v>
      </c>
      <c r="U335" s="40">
        <v>112</v>
      </c>
      <c r="V335" s="40">
        <v>0</v>
      </c>
      <c r="W335" s="40"/>
      <c r="X335" s="23"/>
      <c r="Y335" s="23"/>
      <c r="Z335" s="23"/>
      <c r="AA335" s="23"/>
      <c r="AB335" s="23"/>
      <c r="AC335" s="36"/>
      <c r="AD335" s="36"/>
      <c r="AE335" s="23"/>
      <c r="AF335" s="23"/>
      <c r="AG335" s="23"/>
      <c r="AH335" s="23"/>
      <c r="AI335" s="23"/>
      <c r="AJ335" s="36"/>
      <c r="AK335" s="23"/>
    </row>
    <row r="336" spans="1:37" hidden="1" x14ac:dyDescent="0.3">
      <c r="B336" s="23" t="s">
        <v>338</v>
      </c>
      <c r="C336" s="34"/>
      <c r="D336" s="23"/>
      <c r="E336" s="23"/>
      <c r="F336" s="23"/>
      <c r="G336" s="35"/>
      <c r="H336" s="36"/>
      <c r="I336" s="36"/>
      <c r="J336" s="35"/>
      <c r="K336" s="35"/>
      <c r="L336" s="33"/>
      <c r="M336" s="27" t="s">
        <v>768</v>
      </c>
      <c r="N336" s="24"/>
      <c r="O336" s="23" t="s">
        <v>277</v>
      </c>
      <c r="P336" s="23"/>
      <c r="Q336" s="23"/>
      <c r="R336" s="45">
        <v>37987</v>
      </c>
      <c r="S336" s="45">
        <v>38005</v>
      </c>
      <c r="T336" s="39">
        <v>1</v>
      </c>
      <c r="U336" s="40">
        <v>75</v>
      </c>
      <c r="V336" s="40">
        <v>0</v>
      </c>
      <c r="W336" s="40"/>
      <c r="X336" s="23"/>
      <c r="Y336" s="23"/>
      <c r="Z336" s="23"/>
      <c r="AA336" s="23"/>
      <c r="AB336" s="23"/>
      <c r="AC336" s="36"/>
      <c r="AD336" s="36"/>
      <c r="AE336" s="23"/>
      <c r="AF336" s="23"/>
      <c r="AG336" s="23"/>
      <c r="AH336" s="23"/>
      <c r="AI336" s="23"/>
      <c r="AJ336" s="36"/>
      <c r="AK336" s="23"/>
    </row>
    <row r="337" spans="1:37" hidden="1" x14ac:dyDescent="0.3">
      <c r="B337" s="23" t="s">
        <v>338</v>
      </c>
      <c r="C337" s="34"/>
      <c r="D337" s="23"/>
      <c r="E337" s="23"/>
      <c r="F337" s="23"/>
      <c r="G337" s="35"/>
      <c r="H337" s="36"/>
      <c r="I337" s="36"/>
      <c r="J337" s="35"/>
      <c r="K337" s="35"/>
      <c r="L337" s="27"/>
      <c r="M337" s="27" t="s">
        <v>768</v>
      </c>
      <c r="N337" s="27"/>
      <c r="O337" s="23" t="s">
        <v>769</v>
      </c>
      <c r="P337" s="23"/>
      <c r="Q337" s="23"/>
      <c r="R337" s="45">
        <v>37257</v>
      </c>
      <c r="S337" s="45">
        <v>37985</v>
      </c>
      <c r="T337" s="39">
        <v>24</v>
      </c>
      <c r="U337" s="40">
        <v>37</v>
      </c>
      <c r="V337" s="40">
        <v>0</v>
      </c>
      <c r="W337" s="40"/>
      <c r="X337" s="23"/>
      <c r="Y337" s="23"/>
      <c r="Z337" s="23"/>
      <c r="AA337" s="23"/>
      <c r="AB337" s="23"/>
      <c r="AC337" s="36"/>
      <c r="AD337" s="36"/>
      <c r="AE337" s="23"/>
      <c r="AF337" s="23"/>
      <c r="AG337" s="23"/>
      <c r="AH337" s="23"/>
      <c r="AI337" s="23"/>
      <c r="AJ337" s="36"/>
      <c r="AK337" s="23"/>
    </row>
    <row r="338" spans="1:37" hidden="1" x14ac:dyDescent="0.3">
      <c r="B338" s="23" t="s">
        <v>338</v>
      </c>
      <c r="C338" s="34"/>
      <c r="D338" s="23"/>
      <c r="E338" s="23"/>
      <c r="F338" s="23"/>
      <c r="G338" s="35"/>
      <c r="H338" s="36"/>
      <c r="I338" s="36"/>
      <c r="J338" s="35"/>
      <c r="K338" s="35"/>
      <c r="L338" s="23"/>
      <c r="M338" s="23" t="s">
        <v>770</v>
      </c>
      <c r="N338" s="23"/>
      <c r="O338" s="23" t="s">
        <v>723</v>
      </c>
      <c r="P338" s="23"/>
      <c r="Q338" s="23"/>
      <c r="R338" s="45">
        <v>35435</v>
      </c>
      <c r="S338" s="45">
        <v>37256</v>
      </c>
      <c r="T338" s="39">
        <v>60</v>
      </c>
      <c r="U338" s="40">
        <v>48</v>
      </c>
      <c r="V338" s="40">
        <v>0</v>
      </c>
      <c r="W338" s="40"/>
      <c r="X338" s="23"/>
      <c r="Y338" s="23"/>
      <c r="Z338" s="23"/>
      <c r="AA338" s="23"/>
      <c r="AB338" s="23"/>
      <c r="AC338" s="36"/>
      <c r="AD338" s="36"/>
      <c r="AE338" s="23"/>
      <c r="AF338" s="23"/>
      <c r="AG338" s="23"/>
      <c r="AH338" s="23"/>
      <c r="AI338" s="23"/>
      <c r="AJ338" s="36"/>
      <c r="AK338" s="23"/>
    </row>
    <row r="339" spans="1:37" hidden="1" x14ac:dyDescent="0.3">
      <c r="B339" s="23" t="s">
        <v>338</v>
      </c>
      <c r="C339" s="34"/>
      <c r="D339" s="23"/>
      <c r="E339" s="23"/>
      <c r="F339" s="23"/>
      <c r="G339" s="35"/>
      <c r="H339" s="36"/>
      <c r="I339" s="36"/>
      <c r="J339" s="35"/>
      <c r="K339" s="35"/>
      <c r="L339" s="23"/>
      <c r="M339" s="23" t="s">
        <v>771</v>
      </c>
      <c r="N339" s="23"/>
      <c r="O339" s="23" t="s">
        <v>723</v>
      </c>
      <c r="P339" s="23"/>
      <c r="Q339" s="23"/>
      <c r="R339" s="45">
        <v>34960</v>
      </c>
      <c r="S339" s="45">
        <v>35431</v>
      </c>
      <c r="T339" s="39">
        <v>16</v>
      </c>
      <c r="U339" s="40">
        <v>25</v>
      </c>
      <c r="V339" s="40">
        <v>0</v>
      </c>
      <c r="W339" s="40"/>
      <c r="X339" s="23"/>
      <c r="Y339" s="23"/>
      <c r="Z339" s="23"/>
      <c r="AA339" s="23"/>
      <c r="AB339" s="23"/>
      <c r="AC339" s="36"/>
      <c r="AD339" s="36"/>
      <c r="AE339" s="23"/>
      <c r="AF339" s="23"/>
      <c r="AG339" s="23"/>
      <c r="AH339" s="23"/>
      <c r="AI339" s="23"/>
      <c r="AJ339" s="36"/>
      <c r="AK339" s="23"/>
    </row>
    <row r="340" spans="1:37" hidden="1" x14ac:dyDescent="0.3">
      <c r="B340" s="23" t="s">
        <v>338</v>
      </c>
      <c r="C340" s="34"/>
      <c r="D340" s="23"/>
      <c r="E340" s="23"/>
      <c r="F340" s="23"/>
      <c r="G340" s="35"/>
      <c r="H340" s="36"/>
      <c r="I340" s="36"/>
      <c r="J340" s="35"/>
      <c r="K340" s="35"/>
      <c r="L340" s="23"/>
      <c r="M340" s="23" t="s">
        <v>772</v>
      </c>
      <c r="N340" s="23"/>
      <c r="O340" s="23"/>
      <c r="P340" s="23"/>
      <c r="Q340" s="23"/>
      <c r="R340" s="45">
        <v>34943</v>
      </c>
      <c r="S340" s="45">
        <v>34959</v>
      </c>
      <c r="T340" s="39">
        <v>1</v>
      </c>
      <c r="U340" s="40">
        <v>0</v>
      </c>
      <c r="V340" s="40">
        <v>94</v>
      </c>
      <c r="W340" s="40"/>
      <c r="X340" s="23"/>
      <c r="Y340" s="23"/>
      <c r="Z340" s="23"/>
      <c r="AA340" s="23"/>
      <c r="AB340" s="23"/>
      <c r="AC340" s="36"/>
      <c r="AD340" s="36"/>
      <c r="AE340" s="23"/>
      <c r="AF340" s="23"/>
      <c r="AG340" s="23"/>
      <c r="AH340" s="23"/>
      <c r="AI340" s="23"/>
      <c r="AJ340" s="36"/>
      <c r="AK340" s="23"/>
    </row>
    <row r="341" spans="1:37" hidden="1" x14ac:dyDescent="0.3">
      <c r="B341" s="23" t="s">
        <v>338</v>
      </c>
      <c r="C341" s="34"/>
      <c r="D341" s="23"/>
      <c r="E341" s="23"/>
      <c r="F341" s="23"/>
      <c r="G341" s="35"/>
      <c r="H341" s="36"/>
      <c r="I341" s="36"/>
      <c r="J341" s="35"/>
      <c r="K341" s="35"/>
      <c r="L341" s="23"/>
      <c r="M341" s="23" t="s">
        <v>773</v>
      </c>
      <c r="N341" s="23"/>
      <c r="O341" s="23" t="s">
        <v>723</v>
      </c>
      <c r="P341" s="23"/>
      <c r="Q341" s="23"/>
      <c r="R341" s="45">
        <v>34594</v>
      </c>
      <c r="S341" s="45">
        <v>34942</v>
      </c>
      <c r="T341" s="39">
        <v>12</v>
      </c>
      <c r="U341" s="40">
        <v>0</v>
      </c>
      <c r="V341" s="40">
        <v>135</v>
      </c>
      <c r="W341" s="40"/>
      <c r="X341" s="23"/>
      <c r="Y341" s="23"/>
      <c r="Z341" s="23"/>
      <c r="AA341" s="23"/>
      <c r="AB341" s="23"/>
      <c r="AC341" s="36"/>
      <c r="AD341" s="36"/>
      <c r="AE341" s="23"/>
      <c r="AF341" s="23"/>
      <c r="AG341" s="23"/>
      <c r="AH341" s="23"/>
      <c r="AI341" s="23"/>
      <c r="AJ341" s="36"/>
      <c r="AK341" s="23"/>
    </row>
    <row r="342" spans="1:37" hidden="1" x14ac:dyDescent="0.3">
      <c r="B342" s="23" t="s">
        <v>338</v>
      </c>
      <c r="C342" s="34"/>
      <c r="D342" s="23"/>
      <c r="E342" s="23"/>
      <c r="F342" s="23"/>
      <c r="G342" s="35"/>
      <c r="H342" s="36"/>
      <c r="I342" s="36"/>
      <c r="J342" s="35"/>
      <c r="K342" s="35"/>
      <c r="L342" s="23"/>
      <c r="M342" s="23" t="s">
        <v>774</v>
      </c>
      <c r="N342" s="23"/>
      <c r="O342" s="23" t="s">
        <v>723</v>
      </c>
      <c r="P342" s="23"/>
      <c r="Q342" s="23"/>
      <c r="R342" s="45">
        <v>34071</v>
      </c>
      <c r="S342" s="45">
        <v>34593</v>
      </c>
      <c r="T342" s="39">
        <v>18</v>
      </c>
      <c r="U342" s="40">
        <v>0</v>
      </c>
      <c r="V342" s="40">
        <v>147</v>
      </c>
      <c r="W342" s="40"/>
      <c r="X342" s="23"/>
      <c r="Y342" s="23"/>
      <c r="Z342" s="23"/>
      <c r="AA342" s="23"/>
      <c r="AB342" s="23"/>
      <c r="AC342" s="36"/>
      <c r="AD342" s="36"/>
      <c r="AE342" s="23"/>
      <c r="AF342" s="23"/>
      <c r="AG342" s="23"/>
      <c r="AH342" s="23"/>
      <c r="AI342" s="23"/>
      <c r="AJ342" s="36"/>
      <c r="AK342" s="23"/>
    </row>
    <row r="343" spans="1:37" hidden="1" x14ac:dyDescent="0.3">
      <c r="B343" s="23" t="s">
        <v>338</v>
      </c>
      <c r="C343" s="34"/>
      <c r="D343" s="23"/>
      <c r="E343" s="23"/>
      <c r="F343" s="23"/>
      <c r="G343" s="35"/>
      <c r="H343" s="36"/>
      <c r="I343" s="36"/>
      <c r="J343" s="35"/>
      <c r="K343" s="35"/>
      <c r="L343" s="23"/>
      <c r="M343" s="23" t="s">
        <v>775</v>
      </c>
      <c r="N343" s="23"/>
      <c r="O343" s="23" t="s">
        <v>723</v>
      </c>
      <c r="P343" s="23"/>
      <c r="Q343" s="23"/>
      <c r="R343" s="45">
        <v>33373</v>
      </c>
      <c r="S343" s="45">
        <v>34070</v>
      </c>
      <c r="T343" s="39">
        <v>23</v>
      </c>
      <c r="U343" s="40">
        <v>0</v>
      </c>
      <c r="V343" s="40">
        <v>145</v>
      </c>
      <c r="W343" s="40"/>
      <c r="X343" s="23"/>
      <c r="Y343" s="23"/>
      <c r="Z343" s="23"/>
      <c r="AA343" s="23"/>
      <c r="AB343" s="23"/>
      <c r="AC343" s="36"/>
      <c r="AD343" s="36"/>
      <c r="AE343" s="23"/>
      <c r="AF343" s="23"/>
      <c r="AG343" s="23"/>
      <c r="AH343" s="23"/>
      <c r="AI343" s="23"/>
      <c r="AJ343" s="36"/>
      <c r="AK343" s="23"/>
    </row>
    <row r="344" spans="1:37" hidden="1" x14ac:dyDescent="0.3">
      <c r="B344" s="23" t="s">
        <v>338</v>
      </c>
      <c r="C344" s="34"/>
      <c r="D344" s="23"/>
      <c r="E344" s="23"/>
      <c r="F344" s="23"/>
      <c r="G344" s="35"/>
      <c r="H344" s="36"/>
      <c r="I344" s="36"/>
      <c r="J344" s="35"/>
      <c r="K344" s="35"/>
      <c r="L344" s="23"/>
      <c r="M344" s="23" t="s">
        <v>339</v>
      </c>
      <c r="N344" s="23"/>
      <c r="O344" s="23"/>
      <c r="P344" s="23"/>
      <c r="Q344" s="23"/>
      <c r="R344" s="45">
        <v>33309</v>
      </c>
      <c r="S344" s="45">
        <v>33372</v>
      </c>
      <c r="T344" s="39">
        <v>3</v>
      </c>
      <c r="U344" s="40">
        <v>0</v>
      </c>
      <c r="V344" s="40">
        <v>166</v>
      </c>
      <c r="W344" s="40"/>
      <c r="X344" s="23"/>
      <c r="Y344" s="23"/>
      <c r="Z344" s="23"/>
      <c r="AA344" s="23"/>
      <c r="AB344" s="23"/>
      <c r="AC344" s="36"/>
      <c r="AD344" s="36"/>
      <c r="AE344" s="23"/>
      <c r="AF344" s="23"/>
      <c r="AG344" s="23"/>
      <c r="AH344" s="23"/>
      <c r="AI344" s="23"/>
      <c r="AJ344" s="36"/>
      <c r="AK344" s="23"/>
    </row>
    <row r="345" spans="1:37" hidden="1" x14ac:dyDescent="0.3">
      <c r="B345" s="23" t="s">
        <v>338</v>
      </c>
      <c r="C345" s="34"/>
      <c r="D345" s="23"/>
      <c r="E345" s="23"/>
      <c r="F345" s="23"/>
      <c r="G345" s="35"/>
      <c r="H345" s="36"/>
      <c r="I345" s="36"/>
      <c r="J345" s="35"/>
      <c r="K345" s="35"/>
      <c r="L345" s="23"/>
      <c r="M345" s="23" t="s">
        <v>776</v>
      </c>
      <c r="N345" s="23"/>
      <c r="O345" s="23"/>
      <c r="P345" s="23"/>
      <c r="Q345" s="23"/>
      <c r="R345" s="45">
        <v>32843</v>
      </c>
      <c r="S345" s="45">
        <v>33308</v>
      </c>
      <c r="T345" s="39">
        <v>16</v>
      </c>
      <c r="U345" s="40">
        <v>0</v>
      </c>
      <c r="V345" s="40">
        <v>0</v>
      </c>
      <c r="W345" s="40"/>
      <c r="X345" s="23"/>
      <c r="Y345" s="23"/>
      <c r="Z345" s="23"/>
      <c r="AA345" s="23"/>
      <c r="AB345" s="23"/>
      <c r="AC345" s="36"/>
      <c r="AD345" s="36"/>
      <c r="AE345" s="23"/>
      <c r="AF345" s="23"/>
      <c r="AG345" s="23"/>
      <c r="AH345" s="23"/>
      <c r="AI345" s="23"/>
      <c r="AJ345" s="36"/>
      <c r="AK345" s="23"/>
    </row>
    <row r="346" spans="1:37" hidden="1" x14ac:dyDescent="0.3">
      <c r="B346" s="23" t="s">
        <v>338</v>
      </c>
      <c r="C346" s="34"/>
      <c r="D346" s="23"/>
      <c r="E346" s="23"/>
      <c r="F346" s="23"/>
      <c r="G346" s="35"/>
      <c r="H346" s="36"/>
      <c r="I346" s="36"/>
      <c r="J346" s="35"/>
      <c r="K346" s="35"/>
      <c r="L346" s="23"/>
      <c r="M346" s="23" t="s">
        <v>777</v>
      </c>
      <c r="N346" s="23"/>
      <c r="O346" s="23"/>
      <c r="P346" s="23"/>
      <c r="Q346" s="23"/>
      <c r="R346" s="45">
        <v>32813</v>
      </c>
      <c r="S346" s="45">
        <v>32842</v>
      </c>
      <c r="T346" s="39">
        <v>1</v>
      </c>
      <c r="U346" s="40">
        <v>0</v>
      </c>
      <c r="V346" s="40">
        <v>0</v>
      </c>
      <c r="W346" s="40"/>
      <c r="X346" s="23"/>
      <c r="Y346" s="23"/>
      <c r="Z346" s="23"/>
      <c r="AA346" s="23"/>
      <c r="AB346" s="23"/>
      <c r="AC346" s="36"/>
      <c r="AD346" s="36"/>
      <c r="AE346" s="23"/>
      <c r="AF346" s="23"/>
      <c r="AG346" s="23"/>
      <c r="AH346" s="23"/>
      <c r="AI346" s="23"/>
      <c r="AJ346" s="36"/>
      <c r="AK346" s="23"/>
    </row>
    <row r="347" spans="1:37" hidden="1" x14ac:dyDescent="0.3">
      <c r="B347" s="23" t="s">
        <v>338</v>
      </c>
      <c r="C347" s="34"/>
      <c r="D347" s="23"/>
      <c r="E347" s="23"/>
      <c r="F347" s="23"/>
      <c r="G347" s="35"/>
      <c r="H347" s="36"/>
      <c r="I347" s="36"/>
      <c r="J347" s="35"/>
      <c r="K347" s="35"/>
      <c r="L347" s="23"/>
      <c r="M347" s="23" t="s">
        <v>778</v>
      </c>
      <c r="N347" s="23"/>
      <c r="O347" s="23"/>
      <c r="P347" s="23"/>
      <c r="Q347" s="23"/>
      <c r="R347" s="45">
        <v>31838</v>
      </c>
      <c r="S347" s="45">
        <v>32689</v>
      </c>
      <c r="T347" s="39">
        <v>28</v>
      </c>
      <c r="U347" s="40">
        <v>0</v>
      </c>
      <c r="V347" s="40">
        <v>0</v>
      </c>
      <c r="W347" s="40"/>
      <c r="X347" s="23"/>
      <c r="Y347" s="23"/>
      <c r="Z347" s="23"/>
      <c r="AA347" s="23"/>
      <c r="AB347" s="23"/>
      <c r="AC347" s="36"/>
      <c r="AD347" s="36"/>
      <c r="AE347" s="23"/>
      <c r="AF347" s="23"/>
      <c r="AG347" s="23"/>
      <c r="AH347" s="23"/>
      <c r="AI347" s="23"/>
      <c r="AJ347" s="36"/>
      <c r="AK347" s="23"/>
    </row>
    <row r="348" spans="1:37" hidden="1" x14ac:dyDescent="0.3">
      <c r="B348" s="23"/>
      <c r="C348" s="34"/>
      <c r="D348" s="23"/>
      <c r="E348" s="23"/>
      <c r="F348" s="23"/>
      <c r="G348" s="35"/>
      <c r="H348" s="36"/>
      <c r="I348" s="36"/>
      <c r="J348" s="35"/>
      <c r="K348" s="35"/>
      <c r="L348" s="23"/>
      <c r="M348" s="23"/>
      <c r="N348" s="23"/>
      <c r="O348" s="23"/>
      <c r="P348" s="23"/>
      <c r="Q348" s="23"/>
      <c r="R348" s="45"/>
      <c r="S348" s="45"/>
      <c r="T348" s="39"/>
      <c r="U348" s="40"/>
      <c r="V348" s="40"/>
      <c r="W348" s="40"/>
      <c r="X348" s="23"/>
      <c r="Y348" s="23"/>
      <c r="Z348" s="23"/>
      <c r="AA348" s="23"/>
      <c r="AB348" s="23"/>
      <c r="AC348" s="36"/>
      <c r="AD348" s="36"/>
      <c r="AE348" s="23"/>
      <c r="AF348" s="23"/>
      <c r="AG348" s="23"/>
      <c r="AH348" s="23"/>
      <c r="AI348" s="23"/>
      <c r="AJ348" s="36"/>
      <c r="AK348" s="23"/>
    </row>
    <row r="349" spans="1:37" x14ac:dyDescent="0.3">
      <c r="A349">
        <v>23</v>
      </c>
      <c r="B349" s="23" t="s">
        <v>340</v>
      </c>
      <c r="C349" s="34">
        <v>22266</v>
      </c>
      <c r="D349" s="23" t="s">
        <v>779</v>
      </c>
      <c r="E349" s="23" t="s">
        <v>714</v>
      </c>
      <c r="F349" s="23" t="s">
        <v>780</v>
      </c>
      <c r="G349" s="35">
        <v>38040</v>
      </c>
      <c r="H349" s="55">
        <v>18.833333333333332</v>
      </c>
      <c r="I349" s="36" t="s">
        <v>716</v>
      </c>
      <c r="J349" s="35">
        <v>44512</v>
      </c>
      <c r="K349" s="35" t="s">
        <v>859</v>
      </c>
      <c r="L349" s="30" t="s">
        <v>781</v>
      </c>
      <c r="M349" s="30" t="s">
        <v>782</v>
      </c>
      <c r="N349" s="23"/>
      <c r="O349" s="24" t="s">
        <v>783</v>
      </c>
      <c r="P349" s="23" t="s">
        <v>784</v>
      </c>
      <c r="Q349" s="30" t="s">
        <v>251</v>
      </c>
      <c r="R349" s="57">
        <v>44279</v>
      </c>
      <c r="S349" s="35">
        <v>44614</v>
      </c>
      <c r="T349" s="39">
        <v>11</v>
      </c>
      <c r="U349" s="40">
        <v>0</v>
      </c>
      <c r="V349" s="40">
        <v>0</v>
      </c>
      <c r="W349" s="40"/>
      <c r="X349" s="23"/>
      <c r="Y349" s="23"/>
      <c r="Z349" s="23"/>
      <c r="AA349" s="23" t="s">
        <v>669</v>
      </c>
      <c r="AB349" s="23" t="s">
        <v>670</v>
      </c>
      <c r="AC349" s="36">
        <v>35.5</v>
      </c>
      <c r="AD349" s="36">
        <v>6.75</v>
      </c>
      <c r="AE349" s="23">
        <v>4</v>
      </c>
      <c r="AF349" s="23">
        <v>0</v>
      </c>
      <c r="AG349" s="23">
        <v>9</v>
      </c>
      <c r="AH349" s="23">
        <v>0</v>
      </c>
      <c r="AI349" s="23">
        <v>15.33</v>
      </c>
      <c r="AJ349" s="36">
        <v>9.17</v>
      </c>
      <c r="AK349" s="23">
        <v>3</v>
      </c>
    </row>
    <row r="350" spans="1:37" hidden="1" x14ac:dyDescent="0.3">
      <c r="B350" s="23" t="s">
        <v>340</v>
      </c>
      <c r="C350" s="34"/>
      <c r="D350" s="23"/>
      <c r="E350" s="23"/>
      <c r="F350" s="23"/>
      <c r="G350" s="35"/>
      <c r="H350" s="55"/>
      <c r="I350" s="36"/>
      <c r="J350" s="35"/>
      <c r="K350" s="35"/>
      <c r="L350" s="30" t="s">
        <v>71</v>
      </c>
      <c r="M350" s="30" t="s">
        <v>341</v>
      </c>
      <c r="N350" s="25"/>
      <c r="O350" s="24" t="s">
        <v>783</v>
      </c>
      <c r="P350" s="23" t="s">
        <v>785</v>
      </c>
      <c r="Q350" s="30" t="s">
        <v>251</v>
      </c>
      <c r="R350" s="57">
        <v>43678</v>
      </c>
      <c r="S350" s="57">
        <v>44166</v>
      </c>
      <c r="T350" s="39">
        <v>17</v>
      </c>
      <c r="U350" s="40">
        <v>0</v>
      </c>
      <c r="V350" s="40">
        <v>0</v>
      </c>
      <c r="W350" s="40"/>
      <c r="X350" s="23"/>
      <c r="Y350" s="23"/>
      <c r="Z350" s="23"/>
      <c r="AA350" s="23"/>
      <c r="AB350" s="23"/>
      <c r="AC350" s="36"/>
      <c r="AD350" s="36"/>
      <c r="AE350" s="23"/>
      <c r="AF350" s="23"/>
      <c r="AG350" s="23"/>
      <c r="AH350" s="23"/>
      <c r="AI350" s="23"/>
      <c r="AJ350" s="36"/>
      <c r="AK350" s="23"/>
    </row>
    <row r="351" spans="1:37" ht="33" hidden="1" x14ac:dyDescent="0.3">
      <c r="B351" s="23" t="s">
        <v>340</v>
      </c>
      <c r="C351" s="34"/>
      <c r="D351" s="23"/>
      <c r="E351" s="23"/>
      <c r="F351" s="23"/>
      <c r="G351" s="35"/>
      <c r="H351" s="36"/>
      <c r="I351" s="36"/>
      <c r="J351" s="35"/>
      <c r="K351" s="35"/>
      <c r="L351" s="30" t="s">
        <v>342</v>
      </c>
      <c r="M351" s="30" t="s">
        <v>343</v>
      </c>
      <c r="N351" s="24"/>
      <c r="O351" s="24" t="s">
        <v>786</v>
      </c>
      <c r="P351" s="23" t="s">
        <v>784</v>
      </c>
      <c r="Q351" s="30" t="s">
        <v>345</v>
      </c>
      <c r="R351" s="57">
        <v>42248</v>
      </c>
      <c r="S351" s="57">
        <v>43647</v>
      </c>
      <c r="T351" s="39">
        <v>47</v>
      </c>
      <c r="U351" s="40">
        <v>0</v>
      </c>
      <c r="V351" s="40">
        <v>0</v>
      </c>
      <c r="W351" s="40"/>
      <c r="X351" s="23"/>
      <c r="Y351" s="23"/>
      <c r="Z351" s="23"/>
      <c r="AA351" s="23"/>
      <c r="AB351" s="23"/>
      <c r="AC351" s="36"/>
      <c r="AD351" s="36"/>
      <c r="AE351" s="23"/>
      <c r="AF351" s="23"/>
      <c r="AG351" s="23"/>
      <c r="AH351" s="23"/>
      <c r="AI351" s="23"/>
      <c r="AJ351" s="36"/>
      <c r="AK351" s="23"/>
    </row>
    <row r="352" spans="1:37" ht="33" hidden="1" x14ac:dyDescent="0.3">
      <c r="B352" s="23" t="s">
        <v>340</v>
      </c>
      <c r="C352" s="34"/>
      <c r="D352" s="23"/>
      <c r="E352" s="23"/>
      <c r="F352" s="23"/>
      <c r="G352" s="35"/>
      <c r="H352" s="36"/>
      <c r="I352" s="36"/>
      <c r="J352" s="35"/>
      <c r="K352" s="35"/>
      <c r="L352" s="30" t="s">
        <v>158</v>
      </c>
      <c r="M352" s="30" t="s">
        <v>864</v>
      </c>
      <c r="N352" s="24"/>
      <c r="O352" s="24" t="s">
        <v>786</v>
      </c>
      <c r="P352" s="23" t="s">
        <v>784</v>
      </c>
      <c r="Q352" s="30" t="s">
        <v>347</v>
      </c>
      <c r="R352" s="57">
        <v>40422</v>
      </c>
      <c r="S352" s="57">
        <v>41974</v>
      </c>
      <c r="T352" s="39">
        <v>52</v>
      </c>
      <c r="U352" s="40">
        <v>0</v>
      </c>
      <c r="V352" s="40">
        <v>0</v>
      </c>
      <c r="W352" s="40"/>
      <c r="X352" s="23"/>
      <c r="Y352" s="23"/>
      <c r="Z352" s="23"/>
      <c r="AA352" s="23"/>
      <c r="AB352" s="23"/>
      <c r="AC352" s="36"/>
      <c r="AD352" s="36"/>
      <c r="AE352" s="23"/>
      <c r="AF352" s="23"/>
      <c r="AG352" s="23"/>
      <c r="AH352" s="23"/>
      <c r="AI352" s="23"/>
      <c r="AJ352" s="36"/>
      <c r="AK352" s="23"/>
    </row>
    <row r="353" spans="1:37" hidden="1" x14ac:dyDescent="0.3">
      <c r="B353" s="23" t="s">
        <v>340</v>
      </c>
      <c r="C353" s="34"/>
      <c r="D353" s="23"/>
      <c r="E353" s="23"/>
      <c r="F353" s="23"/>
      <c r="G353" s="35"/>
      <c r="H353" s="36"/>
      <c r="I353" s="36"/>
      <c r="J353" s="35"/>
      <c r="K353" s="35"/>
      <c r="L353" s="30" t="s">
        <v>71</v>
      </c>
      <c r="M353" s="30" t="s">
        <v>787</v>
      </c>
      <c r="N353" s="24"/>
      <c r="O353" s="24" t="s">
        <v>783</v>
      </c>
      <c r="P353" s="23" t="s">
        <v>785</v>
      </c>
      <c r="Q353" s="30" t="s">
        <v>178</v>
      </c>
      <c r="R353" s="57">
        <v>39295</v>
      </c>
      <c r="S353" s="57">
        <v>40360</v>
      </c>
      <c r="T353" s="39">
        <v>36</v>
      </c>
      <c r="U353" s="40">
        <v>0</v>
      </c>
      <c r="V353" s="40">
        <v>0</v>
      </c>
      <c r="W353" s="40"/>
      <c r="X353" s="23"/>
      <c r="Y353" s="23"/>
      <c r="Z353" s="23"/>
      <c r="AA353" s="23"/>
      <c r="AB353" s="23"/>
      <c r="AC353" s="36"/>
      <c r="AD353" s="36"/>
      <c r="AE353" s="23"/>
      <c r="AF353" s="23"/>
      <c r="AG353" s="23"/>
      <c r="AH353" s="23"/>
      <c r="AI353" s="23"/>
      <c r="AJ353" s="36"/>
      <c r="AK353" s="23"/>
    </row>
    <row r="354" spans="1:37" ht="33" hidden="1" x14ac:dyDescent="0.3">
      <c r="B354" s="23" t="s">
        <v>340</v>
      </c>
      <c r="C354" s="34"/>
      <c r="D354" s="23"/>
      <c r="E354" s="23"/>
      <c r="F354" s="23"/>
      <c r="G354" s="35"/>
      <c r="H354" s="36"/>
      <c r="I354" s="36"/>
      <c r="J354" s="35"/>
      <c r="K354" s="35"/>
      <c r="L354" s="30" t="s">
        <v>71</v>
      </c>
      <c r="M354" s="30" t="s">
        <v>788</v>
      </c>
      <c r="N354" s="44"/>
      <c r="O354" s="24" t="s">
        <v>789</v>
      </c>
      <c r="P354" s="23" t="s">
        <v>785</v>
      </c>
      <c r="Q354" s="58" t="s">
        <v>348</v>
      </c>
      <c r="R354" s="57">
        <v>39052</v>
      </c>
      <c r="S354" s="57">
        <v>39234</v>
      </c>
      <c r="T354" s="39">
        <v>7</v>
      </c>
      <c r="U354" s="40">
        <v>0</v>
      </c>
      <c r="V354" s="40">
        <v>0</v>
      </c>
      <c r="W354" s="40"/>
      <c r="X354" s="23"/>
      <c r="Y354" s="23"/>
      <c r="Z354" s="23"/>
      <c r="AA354" s="23"/>
      <c r="AB354" s="23"/>
      <c r="AC354" s="36"/>
      <c r="AD354" s="36"/>
      <c r="AE354" s="23"/>
      <c r="AF354" s="23"/>
      <c r="AG354" s="23"/>
      <c r="AH354" s="23"/>
      <c r="AI354" s="23"/>
      <c r="AJ354" s="36"/>
      <c r="AK354" s="23"/>
    </row>
    <row r="355" spans="1:37" ht="33" hidden="1" x14ac:dyDescent="0.3">
      <c r="B355" s="23" t="s">
        <v>340</v>
      </c>
      <c r="C355" s="34"/>
      <c r="D355" s="23"/>
      <c r="E355" s="23"/>
      <c r="F355" s="23"/>
      <c r="G355" s="35"/>
      <c r="H355" s="36"/>
      <c r="I355" s="36"/>
      <c r="J355" s="35"/>
      <c r="K355" s="35"/>
      <c r="L355" s="30" t="s">
        <v>71</v>
      </c>
      <c r="M355" s="30" t="s">
        <v>349</v>
      </c>
      <c r="N355" s="25"/>
      <c r="O355" s="24" t="s">
        <v>783</v>
      </c>
      <c r="P355" s="23" t="s">
        <v>785</v>
      </c>
      <c r="Q355" s="30" t="s">
        <v>348</v>
      </c>
      <c r="R355" s="57">
        <v>38687</v>
      </c>
      <c r="S355" s="57">
        <v>39022</v>
      </c>
      <c r="T355" s="39">
        <v>12</v>
      </c>
      <c r="U355" s="40">
        <v>0</v>
      </c>
      <c r="V355" s="40">
        <v>0</v>
      </c>
      <c r="W355" s="40"/>
      <c r="X355" s="23"/>
      <c r="Y355" s="23"/>
      <c r="Z355" s="23"/>
      <c r="AA355" s="23"/>
      <c r="AB355" s="23"/>
      <c r="AC355" s="36"/>
      <c r="AD355" s="36"/>
      <c r="AE355" s="23"/>
      <c r="AF355" s="23"/>
      <c r="AG355" s="23"/>
      <c r="AH355" s="23"/>
      <c r="AI355" s="23"/>
      <c r="AJ355" s="36"/>
      <c r="AK355" s="23"/>
    </row>
    <row r="356" spans="1:37" hidden="1" x14ac:dyDescent="0.3">
      <c r="B356" s="23" t="s">
        <v>340</v>
      </c>
      <c r="C356" s="34"/>
      <c r="D356" s="23"/>
      <c r="E356" s="23"/>
      <c r="F356" s="23"/>
      <c r="G356" s="35"/>
      <c r="H356" s="36"/>
      <c r="I356" s="36"/>
      <c r="J356" s="35"/>
      <c r="K356" s="35"/>
      <c r="L356" s="30" t="s">
        <v>71</v>
      </c>
      <c r="M356" s="30" t="s">
        <v>350</v>
      </c>
      <c r="N356" s="24"/>
      <c r="O356" s="24" t="s">
        <v>786</v>
      </c>
      <c r="P356" s="23" t="s">
        <v>790</v>
      </c>
      <c r="Q356" s="30" t="s">
        <v>178</v>
      </c>
      <c r="R356" s="57">
        <v>38108</v>
      </c>
      <c r="S356" s="57">
        <v>38626</v>
      </c>
      <c r="T356" s="39">
        <v>18</v>
      </c>
      <c r="U356" s="40">
        <v>0</v>
      </c>
      <c r="V356" s="40">
        <v>0</v>
      </c>
      <c r="W356" s="40"/>
      <c r="X356" s="23"/>
      <c r="Y356" s="23"/>
      <c r="Z356" s="23"/>
      <c r="AA356" s="23"/>
      <c r="AB356" s="23"/>
      <c r="AC356" s="36"/>
      <c r="AD356" s="36"/>
      <c r="AE356" s="23"/>
      <c r="AF356" s="23"/>
      <c r="AG356" s="23"/>
      <c r="AH356" s="23"/>
      <c r="AI356" s="23"/>
      <c r="AJ356" s="36"/>
      <c r="AK356" s="23"/>
    </row>
    <row r="357" spans="1:37" hidden="1" x14ac:dyDescent="0.3">
      <c r="B357" s="23" t="s">
        <v>340</v>
      </c>
      <c r="C357" s="34"/>
      <c r="D357" s="23"/>
      <c r="E357" s="23"/>
      <c r="F357" s="23"/>
      <c r="G357" s="35"/>
      <c r="H357" s="36"/>
      <c r="I357" s="36"/>
      <c r="J357" s="35"/>
      <c r="K357" s="35"/>
      <c r="L357" s="30" t="s">
        <v>71</v>
      </c>
      <c r="M357" s="30" t="s">
        <v>351</v>
      </c>
      <c r="N357" s="24"/>
      <c r="O357" s="24" t="s">
        <v>783</v>
      </c>
      <c r="P357" s="23" t="s">
        <v>785</v>
      </c>
      <c r="Q357" s="30" t="s">
        <v>178</v>
      </c>
      <c r="R357" s="57">
        <v>37622</v>
      </c>
      <c r="S357" s="57">
        <v>38047</v>
      </c>
      <c r="T357" s="39">
        <v>15</v>
      </c>
      <c r="U357" s="40">
        <v>0</v>
      </c>
      <c r="V357" s="40">
        <v>0</v>
      </c>
      <c r="W357" s="40"/>
      <c r="X357" s="23"/>
      <c r="Y357" s="23"/>
      <c r="Z357" s="23"/>
      <c r="AA357" s="23"/>
      <c r="AB357" s="23"/>
      <c r="AC357" s="36"/>
      <c r="AD357" s="36"/>
      <c r="AE357" s="23"/>
      <c r="AF357" s="23"/>
      <c r="AG357" s="23"/>
      <c r="AH357" s="23"/>
      <c r="AI357" s="23"/>
      <c r="AJ357" s="36"/>
      <c r="AK357" s="23"/>
    </row>
    <row r="358" spans="1:37" ht="33" hidden="1" x14ac:dyDescent="0.3">
      <c r="B358" s="23" t="s">
        <v>340</v>
      </c>
      <c r="C358" s="34"/>
      <c r="D358" s="23"/>
      <c r="E358" s="23"/>
      <c r="F358" s="23"/>
      <c r="G358" s="35"/>
      <c r="H358" s="36"/>
      <c r="I358" s="36"/>
      <c r="J358" s="35"/>
      <c r="K358" s="35"/>
      <c r="L358" s="30" t="s">
        <v>71</v>
      </c>
      <c r="M358" s="30" t="s">
        <v>352</v>
      </c>
      <c r="N358" s="44"/>
      <c r="O358" s="24" t="s">
        <v>362</v>
      </c>
      <c r="P358" s="23" t="s">
        <v>784</v>
      </c>
      <c r="Q358" s="30" t="s">
        <v>353</v>
      </c>
      <c r="R358" s="57">
        <v>37316</v>
      </c>
      <c r="S358" s="57">
        <v>37591</v>
      </c>
      <c r="T358" s="39">
        <v>10</v>
      </c>
      <c r="U358" s="40">
        <v>0</v>
      </c>
      <c r="V358" s="40">
        <v>0</v>
      </c>
      <c r="W358" s="40"/>
      <c r="X358" s="23"/>
      <c r="Y358" s="23"/>
      <c r="Z358" s="23"/>
      <c r="AA358" s="23"/>
      <c r="AB358" s="23"/>
      <c r="AC358" s="36"/>
      <c r="AD358" s="36"/>
      <c r="AE358" s="23"/>
      <c r="AF358" s="23"/>
      <c r="AG358" s="23"/>
      <c r="AH358" s="23"/>
      <c r="AI358" s="23"/>
      <c r="AJ358" s="36"/>
      <c r="AK358" s="23"/>
    </row>
    <row r="359" spans="1:37" ht="33" hidden="1" x14ac:dyDescent="0.3">
      <c r="B359" s="23" t="s">
        <v>340</v>
      </c>
      <c r="C359" s="34"/>
      <c r="D359" s="23"/>
      <c r="E359" s="23"/>
      <c r="F359" s="23"/>
      <c r="G359" s="35"/>
      <c r="H359" s="36"/>
      <c r="I359" s="36"/>
      <c r="J359" s="35"/>
      <c r="K359" s="35"/>
      <c r="L359" s="30" t="s">
        <v>71</v>
      </c>
      <c r="M359" s="30" t="s">
        <v>354</v>
      </c>
      <c r="N359" s="24"/>
      <c r="O359" s="24" t="s">
        <v>362</v>
      </c>
      <c r="P359" s="23" t="s">
        <v>784</v>
      </c>
      <c r="Q359" s="30" t="s">
        <v>355</v>
      </c>
      <c r="R359" s="57">
        <v>36892</v>
      </c>
      <c r="S359" s="57">
        <v>37288</v>
      </c>
      <c r="T359" s="39">
        <v>14</v>
      </c>
      <c r="U359" s="40">
        <v>0</v>
      </c>
      <c r="V359" s="40">
        <v>0</v>
      </c>
      <c r="W359" s="40"/>
      <c r="X359" s="23"/>
      <c r="Y359" s="23"/>
      <c r="Z359" s="23"/>
      <c r="AA359" s="23"/>
      <c r="AB359" s="23"/>
      <c r="AC359" s="36"/>
      <c r="AD359" s="36"/>
      <c r="AE359" s="23"/>
      <c r="AF359" s="23"/>
      <c r="AG359" s="23"/>
      <c r="AH359" s="23"/>
      <c r="AI359" s="23"/>
      <c r="AJ359" s="36"/>
      <c r="AK359" s="23"/>
    </row>
    <row r="360" spans="1:37" hidden="1" x14ac:dyDescent="0.3">
      <c r="B360" s="23" t="s">
        <v>340</v>
      </c>
      <c r="C360" s="34"/>
      <c r="D360" s="23"/>
      <c r="E360" s="23"/>
      <c r="F360" s="23"/>
      <c r="G360" s="35"/>
      <c r="H360" s="36"/>
      <c r="I360" s="36"/>
      <c r="J360" s="35"/>
      <c r="K360" s="35"/>
      <c r="L360" s="30" t="s">
        <v>71</v>
      </c>
      <c r="M360" s="30" t="s">
        <v>356</v>
      </c>
      <c r="N360" s="24"/>
      <c r="O360" s="24" t="s">
        <v>783</v>
      </c>
      <c r="P360" s="23" t="s">
        <v>784</v>
      </c>
      <c r="Q360" s="30" t="s">
        <v>178</v>
      </c>
      <c r="R360" s="57">
        <v>35855</v>
      </c>
      <c r="S360" s="57">
        <v>36770</v>
      </c>
      <c r="T360" s="39">
        <v>31</v>
      </c>
      <c r="U360" s="40">
        <v>0</v>
      </c>
      <c r="V360" s="40">
        <v>0</v>
      </c>
      <c r="W360" s="40"/>
      <c r="X360" s="23"/>
      <c r="Y360" s="23"/>
      <c r="Z360" s="23"/>
      <c r="AA360" s="23"/>
      <c r="AB360" s="23"/>
      <c r="AC360" s="36"/>
      <c r="AD360" s="36"/>
      <c r="AE360" s="23"/>
      <c r="AF360" s="23"/>
      <c r="AG360" s="23"/>
      <c r="AH360" s="23"/>
      <c r="AI360" s="23"/>
      <c r="AJ360" s="36"/>
      <c r="AK360" s="23"/>
    </row>
    <row r="361" spans="1:37" hidden="1" x14ac:dyDescent="0.3">
      <c r="B361" s="23" t="s">
        <v>340</v>
      </c>
      <c r="C361" s="34"/>
      <c r="D361" s="23"/>
      <c r="E361" s="23"/>
      <c r="F361" s="23"/>
      <c r="G361" s="35"/>
      <c r="H361" s="36"/>
      <c r="I361" s="36"/>
      <c r="J361" s="35"/>
      <c r="K361" s="35"/>
      <c r="L361" s="30" t="s">
        <v>71</v>
      </c>
      <c r="M361" s="30" t="s">
        <v>357</v>
      </c>
      <c r="N361" s="25"/>
      <c r="O361" s="24"/>
      <c r="P361" s="23" t="s">
        <v>790</v>
      </c>
      <c r="Q361" s="23" t="s">
        <v>178</v>
      </c>
      <c r="R361" s="57">
        <v>35521</v>
      </c>
      <c r="S361" s="57">
        <v>36130</v>
      </c>
      <c r="T361" s="39">
        <v>21</v>
      </c>
      <c r="U361" s="40">
        <v>0</v>
      </c>
      <c r="V361" s="40">
        <v>0</v>
      </c>
      <c r="W361" s="40"/>
      <c r="X361" s="23"/>
      <c r="Y361" s="23"/>
      <c r="Z361" s="23"/>
      <c r="AA361" s="23"/>
      <c r="AB361" s="23"/>
      <c r="AC361" s="36"/>
      <c r="AD361" s="36"/>
      <c r="AE361" s="23"/>
      <c r="AF361" s="23"/>
      <c r="AG361" s="23"/>
      <c r="AH361" s="23"/>
      <c r="AI361" s="23"/>
      <c r="AJ361" s="36"/>
      <c r="AK361" s="23"/>
    </row>
    <row r="362" spans="1:37" hidden="1" x14ac:dyDescent="0.3">
      <c r="B362" s="23" t="s">
        <v>340</v>
      </c>
      <c r="C362" s="34"/>
      <c r="D362" s="23"/>
      <c r="E362" s="23"/>
      <c r="F362" s="23"/>
      <c r="G362" s="35"/>
      <c r="H362" s="36"/>
      <c r="I362" s="36"/>
      <c r="J362" s="35"/>
      <c r="K362" s="35"/>
      <c r="L362" s="30" t="s">
        <v>71</v>
      </c>
      <c r="M362" s="30" t="s">
        <v>358</v>
      </c>
      <c r="N362" s="24"/>
      <c r="O362" s="24" t="s">
        <v>786</v>
      </c>
      <c r="P362" s="23" t="s">
        <v>785</v>
      </c>
      <c r="Q362" s="23" t="s">
        <v>267</v>
      </c>
      <c r="R362" s="57">
        <v>34820</v>
      </c>
      <c r="S362" s="57">
        <v>35278</v>
      </c>
      <c r="T362" s="39">
        <v>16</v>
      </c>
      <c r="U362" s="40">
        <v>0</v>
      </c>
      <c r="V362" s="40">
        <v>0</v>
      </c>
      <c r="W362" s="40"/>
      <c r="X362" s="23"/>
      <c r="Y362" s="23"/>
      <c r="Z362" s="23"/>
      <c r="AA362" s="23"/>
      <c r="AB362" s="23"/>
      <c r="AC362" s="36"/>
      <c r="AD362" s="36"/>
      <c r="AE362" s="23"/>
      <c r="AF362" s="23"/>
      <c r="AG362" s="23"/>
      <c r="AH362" s="23"/>
      <c r="AI362" s="23"/>
      <c r="AJ362" s="36"/>
      <c r="AK362" s="23"/>
    </row>
    <row r="363" spans="1:37" hidden="1" x14ac:dyDescent="0.3">
      <c r="B363" s="23" t="s">
        <v>340</v>
      </c>
      <c r="C363" s="34"/>
      <c r="D363" s="23"/>
      <c r="E363" s="23"/>
      <c r="F363" s="23"/>
      <c r="G363" s="35"/>
      <c r="H363" s="36"/>
      <c r="I363" s="36"/>
      <c r="J363" s="35"/>
      <c r="K363" s="35"/>
      <c r="L363" s="30" t="s">
        <v>71</v>
      </c>
      <c r="M363" s="30" t="s">
        <v>359</v>
      </c>
      <c r="N363" s="24"/>
      <c r="O363" s="24" t="s">
        <v>344</v>
      </c>
      <c r="P363" s="23" t="s">
        <v>785</v>
      </c>
      <c r="Q363" s="23" t="s">
        <v>265</v>
      </c>
      <c r="R363" s="57">
        <v>34060</v>
      </c>
      <c r="S363" s="57">
        <v>34700</v>
      </c>
      <c r="T363" s="39">
        <v>22</v>
      </c>
      <c r="U363" s="40">
        <v>0</v>
      </c>
      <c r="V363" s="40">
        <v>0</v>
      </c>
      <c r="W363" s="40"/>
      <c r="X363" s="23"/>
      <c r="Y363" s="23"/>
      <c r="Z363" s="23"/>
      <c r="AA363" s="23"/>
      <c r="AB363" s="23"/>
      <c r="AC363" s="36"/>
      <c r="AD363" s="36"/>
      <c r="AE363" s="23"/>
      <c r="AF363" s="23"/>
      <c r="AG363" s="23"/>
      <c r="AH363" s="23"/>
      <c r="AI363" s="23"/>
      <c r="AJ363" s="36"/>
      <c r="AK363" s="23"/>
    </row>
    <row r="364" spans="1:37" hidden="1" x14ac:dyDescent="0.3">
      <c r="B364" s="23" t="s">
        <v>340</v>
      </c>
      <c r="C364" s="34"/>
      <c r="D364" s="23"/>
      <c r="E364" s="23"/>
      <c r="F364" s="23"/>
      <c r="G364" s="35"/>
      <c r="H364" s="36"/>
      <c r="I364" s="36"/>
      <c r="J364" s="35"/>
      <c r="K364" s="35"/>
      <c r="L364" s="30" t="s">
        <v>71</v>
      </c>
      <c r="M364" s="23" t="s">
        <v>865</v>
      </c>
      <c r="N364" s="24"/>
      <c r="O364" s="24" t="s">
        <v>786</v>
      </c>
      <c r="P364" s="23" t="s">
        <v>785</v>
      </c>
      <c r="Q364" s="23" t="s">
        <v>265</v>
      </c>
      <c r="R364" s="57">
        <v>32933</v>
      </c>
      <c r="S364" s="57">
        <v>33970</v>
      </c>
      <c r="T364" s="39">
        <v>35</v>
      </c>
      <c r="U364" s="40">
        <v>0</v>
      </c>
      <c r="V364" s="40">
        <v>0</v>
      </c>
      <c r="W364" s="40"/>
      <c r="X364" s="23"/>
      <c r="Y364" s="23"/>
      <c r="Z364" s="23"/>
      <c r="AA364" s="23"/>
      <c r="AB364" s="23"/>
      <c r="AC364" s="36"/>
      <c r="AD364" s="36"/>
      <c r="AE364" s="23"/>
      <c r="AF364" s="23"/>
      <c r="AG364" s="23"/>
      <c r="AH364" s="23"/>
      <c r="AI364" s="23"/>
      <c r="AJ364" s="36"/>
      <c r="AK364" s="23"/>
    </row>
    <row r="365" spans="1:37" hidden="1" x14ac:dyDescent="0.3">
      <c r="B365" s="23" t="s">
        <v>340</v>
      </c>
      <c r="C365" s="34"/>
      <c r="D365" s="23"/>
      <c r="E365" s="23"/>
      <c r="F365" s="23"/>
      <c r="G365" s="35"/>
      <c r="H365" s="36"/>
      <c r="I365" s="36"/>
      <c r="J365" s="35"/>
      <c r="K365" s="35"/>
      <c r="L365" s="30" t="s">
        <v>71</v>
      </c>
      <c r="M365" s="30" t="s">
        <v>360</v>
      </c>
      <c r="N365" s="44"/>
      <c r="O365" s="24" t="s">
        <v>791</v>
      </c>
      <c r="P365" s="23" t="s">
        <v>785</v>
      </c>
      <c r="Q365" s="30" t="s">
        <v>265</v>
      </c>
      <c r="R365" s="57">
        <v>32143</v>
      </c>
      <c r="S365" s="57">
        <v>32843</v>
      </c>
      <c r="T365" s="39">
        <v>24</v>
      </c>
      <c r="U365" s="40">
        <v>0</v>
      </c>
      <c r="V365" s="40">
        <v>0</v>
      </c>
      <c r="W365" s="40"/>
      <c r="X365" s="23"/>
      <c r="Y365" s="23"/>
      <c r="Z365" s="23"/>
      <c r="AA365" s="23"/>
      <c r="AB365" s="23"/>
      <c r="AC365" s="36"/>
      <c r="AD365" s="36"/>
      <c r="AE365" s="23"/>
      <c r="AF365" s="23"/>
      <c r="AG365" s="23"/>
      <c r="AH365" s="23"/>
      <c r="AI365" s="23"/>
      <c r="AJ365" s="36"/>
      <c r="AK365" s="23"/>
    </row>
    <row r="366" spans="1:37" ht="33" hidden="1" x14ac:dyDescent="0.3">
      <c r="B366" s="23" t="s">
        <v>340</v>
      </c>
      <c r="C366" s="34"/>
      <c r="D366" s="23"/>
      <c r="E366" s="23"/>
      <c r="F366" s="23"/>
      <c r="G366" s="35"/>
      <c r="H366" s="36"/>
      <c r="I366" s="36"/>
      <c r="J366" s="35"/>
      <c r="K366" s="35"/>
      <c r="L366" s="23" t="s">
        <v>71</v>
      </c>
      <c r="M366" s="30" t="s">
        <v>361</v>
      </c>
      <c r="N366" s="44"/>
      <c r="O366" s="24" t="s">
        <v>783</v>
      </c>
      <c r="P366" s="23" t="s">
        <v>790</v>
      </c>
      <c r="Q366" s="30" t="s">
        <v>265</v>
      </c>
      <c r="R366" s="57">
        <v>30803</v>
      </c>
      <c r="S366" s="57">
        <v>31929</v>
      </c>
      <c r="T366" s="39">
        <v>38</v>
      </c>
      <c r="U366" s="40">
        <v>0</v>
      </c>
      <c r="V366" s="40">
        <v>0</v>
      </c>
      <c r="W366" s="40"/>
      <c r="X366" s="23"/>
      <c r="Y366" s="23"/>
      <c r="Z366" s="23"/>
      <c r="AA366" s="23"/>
      <c r="AB366" s="23"/>
      <c r="AC366" s="36"/>
      <c r="AD366" s="36"/>
      <c r="AE366" s="23"/>
      <c r="AF366" s="23"/>
      <c r="AG366" s="23"/>
      <c r="AH366" s="23"/>
      <c r="AI366" s="23"/>
      <c r="AJ366" s="36"/>
      <c r="AK366" s="23"/>
    </row>
    <row r="367" spans="1:37" hidden="1" x14ac:dyDescent="0.3">
      <c r="B367" s="23"/>
      <c r="C367" s="34"/>
      <c r="D367" s="23"/>
      <c r="E367" s="23"/>
      <c r="F367" s="23"/>
      <c r="G367" s="35"/>
      <c r="H367" s="36"/>
      <c r="I367" s="36"/>
      <c r="J367" s="35"/>
      <c r="K367" s="35"/>
      <c r="L367" s="23"/>
      <c r="M367" s="30"/>
      <c r="N367" s="44"/>
      <c r="O367" s="24"/>
      <c r="P367" s="23"/>
      <c r="Q367" s="30"/>
      <c r="R367" s="57"/>
      <c r="S367" s="57"/>
      <c r="T367" s="39"/>
      <c r="U367" s="40"/>
      <c r="V367" s="40"/>
      <c r="W367" s="40"/>
      <c r="X367" s="23"/>
      <c r="Y367" s="23"/>
      <c r="Z367" s="23"/>
      <c r="AA367" s="23"/>
      <c r="AB367" s="23"/>
      <c r="AC367" s="36"/>
      <c r="AD367" s="36"/>
      <c r="AE367" s="23"/>
      <c r="AF367" s="23"/>
      <c r="AG367" s="23"/>
      <c r="AH367" s="23"/>
      <c r="AI367" s="23"/>
      <c r="AJ367" s="36"/>
      <c r="AK367" s="23"/>
    </row>
    <row r="368" spans="1:37" ht="33" x14ac:dyDescent="0.3">
      <c r="A368">
        <v>24</v>
      </c>
      <c r="B368" s="23" t="s">
        <v>363</v>
      </c>
      <c r="C368" s="34">
        <v>19338</v>
      </c>
      <c r="D368" s="23" t="s">
        <v>792</v>
      </c>
      <c r="E368" s="23" t="s">
        <v>793</v>
      </c>
      <c r="F368" s="23" t="s">
        <v>754</v>
      </c>
      <c r="G368" s="35">
        <v>42552</v>
      </c>
      <c r="H368" s="55">
        <v>6.5</v>
      </c>
      <c r="I368" s="36" t="s">
        <v>364</v>
      </c>
      <c r="J368" s="35">
        <v>43389</v>
      </c>
      <c r="K368" s="35" t="s">
        <v>860</v>
      </c>
      <c r="L368" s="37" t="s">
        <v>365</v>
      </c>
      <c r="M368" s="28" t="s">
        <v>861</v>
      </c>
      <c r="N368" s="37" t="s">
        <v>794</v>
      </c>
      <c r="O368" s="28" t="s">
        <v>362</v>
      </c>
      <c r="P368" s="37" t="s">
        <v>367</v>
      </c>
      <c r="Q368" s="28" t="s">
        <v>795</v>
      </c>
      <c r="R368" s="38">
        <v>43495</v>
      </c>
      <c r="S368" s="38">
        <v>44720</v>
      </c>
      <c r="T368" s="39">
        <v>27</v>
      </c>
      <c r="U368" s="40">
        <v>0</v>
      </c>
      <c r="V368" s="40">
        <v>0</v>
      </c>
      <c r="W368" s="40"/>
      <c r="X368" s="23">
        <v>6</v>
      </c>
      <c r="Y368" s="23">
        <v>5</v>
      </c>
      <c r="Z368" s="23"/>
      <c r="AA368" s="23" t="s">
        <v>58</v>
      </c>
      <c r="AB368" s="23" t="s">
        <v>85</v>
      </c>
      <c r="AC368" s="36">
        <v>38.75</v>
      </c>
      <c r="AD368" s="36">
        <v>16.079999999999998</v>
      </c>
      <c r="AE368" s="23">
        <v>6</v>
      </c>
      <c r="AF368" s="23">
        <v>0</v>
      </c>
      <c r="AG368" s="23">
        <v>8</v>
      </c>
      <c r="AH368" s="23">
        <v>0</v>
      </c>
      <c r="AI368" s="23">
        <v>28.75</v>
      </c>
      <c r="AJ368" s="36">
        <v>10.5</v>
      </c>
      <c r="AK368" s="23">
        <v>5</v>
      </c>
    </row>
    <row r="369" spans="1:37" ht="33" hidden="1" x14ac:dyDescent="0.3">
      <c r="B369" s="23" t="s">
        <v>363</v>
      </c>
      <c r="C369" s="34"/>
      <c r="D369" s="23"/>
      <c r="E369" s="23"/>
      <c r="F369" s="23"/>
      <c r="G369" s="35"/>
      <c r="H369" s="36"/>
      <c r="I369" s="36"/>
      <c r="J369" s="35"/>
      <c r="K369" s="35"/>
      <c r="L369" s="30" t="s">
        <v>156</v>
      </c>
      <c r="M369" s="30" t="s">
        <v>796</v>
      </c>
      <c r="N369" s="25"/>
      <c r="O369" s="24" t="s">
        <v>797</v>
      </c>
      <c r="P369" s="23" t="s">
        <v>367</v>
      </c>
      <c r="Q369" s="30" t="s">
        <v>72</v>
      </c>
      <c r="R369" s="59">
        <v>42552</v>
      </c>
      <c r="S369" s="59">
        <v>43344</v>
      </c>
      <c r="T369" s="39">
        <v>20</v>
      </c>
      <c r="U369" s="40">
        <v>0</v>
      </c>
      <c r="V369" s="40">
        <v>0</v>
      </c>
      <c r="W369" s="40"/>
      <c r="X369" s="23"/>
      <c r="Y369" s="23"/>
      <c r="Z369" s="23"/>
      <c r="AA369" s="23"/>
      <c r="AB369" s="23"/>
      <c r="AC369" s="36"/>
      <c r="AD369" s="36"/>
      <c r="AE369" s="23"/>
      <c r="AF369" s="23"/>
      <c r="AG369" s="23"/>
      <c r="AH369" s="23"/>
      <c r="AI369" s="23"/>
      <c r="AJ369" s="36"/>
      <c r="AK369" s="23"/>
    </row>
    <row r="370" spans="1:37" hidden="1" x14ac:dyDescent="0.3">
      <c r="B370" s="23" t="s">
        <v>363</v>
      </c>
      <c r="C370" s="34"/>
      <c r="D370" s="23"/>
      <c r="E370" s="23"/>
      <c r="F370" s="23"/>
      <c r="G370" s="35"/>
      <c r="H370" s="36"/>
      <c r="I370" s="36"/>
      <c r="J370" s="35"/>
      <c r="K370" s="35"/>
      <c r="L370" s="30" t="s">
        <v>209</v>
      </c>
      <c r="M370" s="30" t="s">
        <v>366</v>
      </c>
      <c r="N370" s="24"/>
      <c r="O370" s="24" t="s">
        <v>374</v>
      </c>
      <c r="P370" s="23" t="s">
        <v>346</v>
      </c>
      <c r="Q370" s="30" t="s">
        <v>368</v>
      </c>
      <c r="R370" s="59">
        <v>41609</v>
      </c>
      <c r="S370" s="59">
        <v>42186</v>
      </c>
      <c r="T370" s="39">
        <v>29</v>
      </c>
      <c r="U370" s="40">
        <v>0</v>
      </c>
      <c r="V370" s="40">
        <v>0</v>
      </c>
      <c r="W370" s="40"/>
      <c r="X370" s="23"/>
      <c r="Y370" s="23"/>
      <c r="Z370" s="23"/>
      <c r="AA370" s="23"/>
      <c r="AB370" s="23"/>
      <c r="AC370" s="36"/>
      <c r="AD370" s="36"/>
      <c r="AE370" s="23"/>
      <c r="AF370" s="23"/>
      <c r="AG370" s="23"/>
      <c r="AH370" s="23"/>
      <c r="AI370" s="23"/>
      <c r="AJ370" s="36"/>
      <c r="AK370" s="23"/>
    </row>
    <row r="371" spans="1:37" ht="33" hidden="1" x14ac:dyDescent="0.3">
      <c r="B371" s="23" t="s">
        <v>363</v>
      </c>
      <c r="C371" s="34"/>
      <c r="D371" s="23"/>
      <c r="E371" s="23"/>
      <c r="F371" s="23"/>
      <c r="G371" s="35"/>
      <c r="H371" s="36"/>
      <c r="I371" s="36"/>
      <c r="J371" s="35"/>
      <c r="K371" s="35"/>
      <c r="L371" s="30" t="s">
        <v>383</v>
      </c>
      <c r="M371" s="30" t="s">
        <v>369</v>
      </c>
      <c r="N371" s="24"/>
      <c r="O371" s="24" t="s">
        <v>370</v>
      </c>
      <c r="P371" s="23" t="s">
        <v>66</v>
      </c>
      <c r="Q371" s="30" t="s">
        <v>78</v>
      </c>
      <c r="R371" s="59">
        <v>40544</v>
      </c>
      <c r="S371" s="59">
        <v>41395</v>
      </c>
      <c r="T371" s="39">
        <v>47</v>
      </c>
      <c r="U371" s="40">
        <v>0</v>
      </c>
      <c r="V371" s="40">
        <v>0</v>
      </c>
      <c r="W371" s="40"/>
      <c r="X371" s="23"/>
      <c r="Y371" s="23"/>
      <c r="Z371" s="23"/>
      <c r="AA371" s="23"/>
      <c r="AB371" s="23"/>
      <c r="AC371" s="36"/>
      <c r="AD371" s="36"/>
      <c r="AE371" s="23"/>
      <c r="AF371" s="23"/>
      <c r="AG371" s="23"/>
      <c r="AH371" s="23"/>
      <c r="AI371" s="23"/>
      <c r="AJ371" s="36"/>
      <c r="AK371" s="23"/>
    </row>
    <row r="372" spans="1:37" hidden="1" x14ac:dyDescent="0.3">
      <c r="B372" s="23" t="s">
        <v>363</v>
      </c>
      <c r="C372" s="34"/>
      <c r="D372" s="23"/>
      <c r="E372" s="23"/>
      <c r="F372" s="23"/>
      <c r="G372" s="35"/>
      <c r="H372" s="36"/>
      <c r="I372" s="36"/>
      <c r="J372" s="35"/>
      <c r="K372" s="35"/>
      <c r="L372" s="30" t="s">
        <v>329</v>
      </c>
      <c r="M372" s="30" t="s">
        <v>371</v>
      </c>
      <c r="N372" s="24"/>
      <c r="O372" s="24" t="s">
        <v>797</v>
      </c>
      <c r="P372" s="23" t="s">
        <v>66</v>
      </c>
      <c r="Q372" s="30" t="s">
        <v>78</v>
      </c>
      <c r="R372" s="59">
        <v>38838</v>
      </c>
      <c r="S372" s="59">
        <v>40238</v>
      </c>
      <c r="T372" s="39">
        <v>35</v>
      </c>
      <c r="U372" s="40">
        <v>0</v>
      </c>
      <c r="V372" s="40">
        <v>0</v>
      </c>
      <c r="W372" s="40"/>
      <c r="X372" s="23"/>
      <c r="Y372" s="23"/>
      <c r="Z372" s="23"/>
      <c r="AA372" s="23"/>
      <c r="AB372" s="23"/>
      <c r="AC372" s="36"/>
      <c r="AD372" s="36"/>
      <c r="AE372" s="23"/>
      <c r="AF372" s="23"/>
      <c r="AG372" s="23"/>
      <c r="AH372" s="23"/>
      <c r="AI372" s="23"/>
      <c r="AJ372" s="36"/>
      <c r="AK372" s="23"/>
    </row>
    <row r="373" spans="1:37" hidden="1" x14ac:dyDescent="0.3">
      <c r="B373" s="23" t="s">
        <v>363</v>
      </c>
      <c r="C373" s="34"/>
      <c r="D373" s="23"/>
      <c r="E373" s="23"/>
      <c r="F373" s="23"/>
      <c r="G373" s="35"/>
      <c r="H373" s="36"/>
      <c r="I373" s="36"/>
      <c r="J373" s="35"/>
      <c r="K373" s="35"/>
      <c r="L373" s="30" t="s">
        <v>383</v>
      </c>
      <c r="M373" s="30" t="s">
        <v>372</v>
      </c>
      <c r="N373" s="44"/>
      <c r="O373" s="24" t="s">
        <v>374</v>
      </c>
      <c r="P373" s="23" t="s">
        <v>66</v>
      </c>
      <c r="Q373" s="58" t="s">
        <v>78</v>
      </c>
      <c r="R373" s="59">
        <v>37316</v>
      </c>
      <c r="S373" s="59">
        <v>38353</v>
      </c>
      <c r="T373" s="39">
        <v>34</v>
      </c>
      <c r="U373" s="40">
        <v>0</v>
      </c>
      <c r="V373" s="40">
        <v>0</v>
      </c>
      <c r="W373" s="40"/>
      <c r="X373" s="23"/>
      <c r="Y373" s="23"/>
      <c r="Z373" s="23"/>
      <c r="AA373" s="23"/>
      <c r="AB373" s="23"/>
      <c r="AC373" s="36"/>
      <c r="AD373" s="36"/>
      <c r="AE373" s="23"/>
      <c r="AF373" s="23"/>
      <c r="AG373" s="23"/>
      <c r="AH373" s="23"/>
      <c r="AI373" s="23"/>
      <c r="AJ373" s="36"/>
      <c r="AK373" s="23"/>
    </row>
    <row r="374" spans="1:37" hidden="1" x14ac:dyDescent="0.3">
      <c r="B374" s="23" t="s">
        <v>363</v>
      </c>
      <c r="C374" s="34"/>
      <c r="D374" s="23"/>
      <c r="E374" s="23"/>
      <c r="F374" s="23"/>
      <c r="G374" s="35"/>
      <c r="H374" s="36"/>
      <c r="I374" s="36"/>
      <c r="J374" s="35"/>
      <c r="K374" s="35"/>
      <c r="L374" s="30" t="s">
        <v>329</v>
      </c>
      <c r="M374" s="30" t="s">
        <v>373</v>
      </c>
      <c r="N374" s="25"/>
      <c r="O374" s="24" t="s">
        <v>277</v>
      </c>
      <c r="P374" s="23" t="s">
        <v>66</v>
      </c>
      <c r="Q374" s="30" t="s">
        <v>375</v>
      </c>
      <c r="R374" s="59">
        <v>35886</v>
      </c>
      <c r="S374" s="59">
        <v>36892</v>
      </c>
      <c r="T374" s="39">
        <v>105</v>
      </c>
      <c r="U374" s="40">
        <v>0</v>
      </c>
      <c r="V374" s="40">
        <v>0</v>
      </c>
      <c r="W374" s="40"/>
      <c r="X374" s="23"/>
      <c r="Y374" s="23"/>
      <c r="Z374" s="23"/>
      <c r="AA374" s="23"/>
      <c r="AB374" s="23"/>
      <c r="AC374" s="36"/>
      <c r="AD374" s="36"/>
      <c r="AE374" s="23"/>
      <c r="AF374" s="23"/>
      <c r="AG374" s="23"/>
      <c r="AH374" s="23"/>
      <c r="AI374" s="23"/>
      <c r="AJ374" s="36"/>
      <c r="AK374" s="23"/>
    </row>
    <row r="375" spans="1:37" hidden="1" x14ac:dyDescent="0.3">
      <c r="B375" s="23" t="s">
        <v>363</v>
      </c>
      <c r="C375" s="34"/>
      <c r="D375" s="23"/>
      <c r="E375" s="23"/>
      <c r="F375" s="23"/>
      <c r="G375" s="35"/>
      <c r="H375" s="36"/>
      <c r="I375" s="36"/>
      <c r="J375" s="35"/>
      <c r="K375" s="35"/>
      <c r="L375" s="30" t="s">
        <v>383</v>
      </c>
      <c r="M375" s="30" t="s">
        <v>376</v>
      </c>
      <c r="N375" s="24"/>
      <c r="O375" s="24" t="s">
        <v>277</v>
      </c>
      <c r="P375" s="23"/>
      <c r="Q375" s="30" t="s">
        <v>377</v>
      </c>
      <c r="R375" s="57">
        <v>32540</v>
      </c>
      <c r="S375" s="59">
        <v>35704</v>
      </c>
      <c r="T375" s="39">
        <v>48</v>
      </c>
      <c r="U375" s="40">
        <v>0</v>
      </c>
      <c r="V375" s="40">
        <v>0</v>
      </c>
      <c r="W375" s="40"/>
      <c r="X375" s="23"/>
      <c r="Y375" s="23"/>
      <c r="Z375" s="23"/>
      <c r="AA375" s="23"/>
      <c r="AB375" s="23"/>
      <c r="AC375" s="36"/>
      <c r="AD375" s="36"/>
      <c r="AE375" s="23"/>
      <c r="AF375" s="23"/>
      <c r="AG375" s="23"/>
      <c r="AH375" s="23"/>
      <c r="AI375" s="23"/>
      <c r="AJ375" s="36"/>
      <c r="AK375" s="23"/>
    </row>
    <row r="376" spans="1:37" ht="33" hidden="1" x14ac:dyDescent="0.3">
      <c r="B376" s="23" t="s">
        <v>363</v>
      </c>
      <c r="C376" s="34"/>
      <c r="D376" s="23"/>
      <c r="E376" s="23"/>
      <c r="F376" s="23"/>
      <c r="G376" s="35"/>
      <c r="H376" s="36"/>
      <c r="I376" s="36"/>
      <c r="J376" s="35"/>
      <c r="K376" s="35"/>
      <c r="L376" s="30" t="s">
        <v>73</v>
      </c>
      <c r="M376" s="30" t="s">
        <v>378</v>
      </c>
      <c r="N376" s="24"/>
      <c r="O376" s="24"/>
      <c r="P376" s="23"/>
      <c r="Q376" s="30" t="s">
        <v>379</v>
      </c>
      <c r="R376" s="59">
        <v>30621</v>
      </c>
      <c r="S376" s="59">
        <v>32051</v>
      </c>
      <c r="T376" s="39">
        <v>29</v>
      </c>
      <c r="U376" s="40">
        <v>0</v>
      </c>
      <c r="V376" s="40">
        <v>0</v>
      </c>
      <c r="W376" s="40"/>
      <c r="X376" s="23"/>
      <c r="Y376" s="23"/>
      <c r="Z376" s="23"/>
      <c r="AA376" s="23"/>
      <c r="AB376" s="23"/>
      <c r="AC376" s="36"/>
      <c r="AD376" s="36"/>
      <c r="AE376" s="23"/>
      <c r="AF376" s="23"/>
      <c r="AG376" s="23"/>
      <c r="AH376" s="23"/>
      <c r="AI376" s="23"/>
      <c r="AJ376" s="36"/>
      <c r="AK376" s="23"/>
    </row>
    <row r="377" spans="1:37" hidden="1" x14ac:dyDescent="0.3">
      <c r="B377" s="23" t="s">
        <v>363</v>
      </c>
      <c r="C377" s="34"/>
      <c r="D377" s="23"/>
      <c r="E377" s="23"/>
      <c r="F377" s="23"/>
      <c r="G377" s="35"/>
      <c r="H377" s="36"/>
      <c r="I377" s="36"/>
      <c r="J377" s="35"/>
      <c r="K377" s="35"/>
      <c r="L377" s="30" t="s">
        <v>70</v>
      </c>
      <c r="M377" s="30" t="s">
        <v>380</v>
      </c>
      <c r="N377" s="44"/>
      <c r="O377" s="24"/>
      <c r="P377" s="23"/>
      <c r="Q377" s="30" t="s">
        <v>69</v>
      </c>
      <c r="R377" s="59">
        <v>29587</v>
      </c>
      <c r="S377" s="59">
        <v>30437</v>
      </c>
      <c r="T377" s="39">
        <v>21</v>
      </c>
      <c r="U377" s="40">
        <v>0</v>
      </c>
      <c r="V377" s="40">
        <v>0</v>
      </c>
      <c r="W377" s="40"/>
      <c r="X377" s="23"/>
      <c r="Y377" s="23"/>
      <c r="Z377" s="23"/>
      <c r="AA377" s="23"/>
      <c r="AB377" s="23"/>
      <c r="AC377" s="36"/>
      <c r="AD377" s="36"/>
      <c r="AE377" s="23"/>
      <c r="AF377" s="23"/>
      <c r="AG377" s="23"/>
      <c r="AH377" s="23"/>
      <c r="AI377" s="23"/>
      <c r="AJ377" s="36"/>
      <c r="AK377" s="23"/>
    </row>
    <row r="378" spans="1:37" ht="33" hidden="1" x14ac:dyDescent="0.3">
      <c r="B378" s="23" t="s">
        <v>363</v>
      </c>
      <c r="C378" s="34"/>
      <c r="D378" s="23"/>
      <c r="E378" s="23"/>
      <c r="F378" s="23"/>
      <c r="G378" s="35"/>
      <c r="H378" s="36"/>
      <c r="I378" s="36"/>
      <c r="J378" s="35"/>
      <c r="K378" s="35"/>
      <c r="L378" s="30" t="s">
        <v>329</v>
      </c>
      <c r="M378" s="30" t="s">
        <v>381</v>
      </c>
      <c r="N378" s="24"/>
      <c r="O378" s="24"/>
      <c r="P378" s="23"/>
      <c r="Q378" s="30" t="s">
        <v>382</v>
      </c>
      <c r="R378" s="59">
        <v>28946</v>
      </c>
      <c r="S378" s="57">
        <v>29556</v>
      </c>
      <c r="T378" s="39">
        <v>23</v>
      </c>
      <c r="U378" s="40">
        <v>0</v>
      </c>
      <c r="V378" s="40">
        <v>0</v>
      </c>
      <c r="W378" s="40"/>
      <c r="X378" s="23"/>
      <c r="Y378" s="23"/>
      <c r="Z378" s="23"/>
      <c r="AA378" s="23"/>
      <c r="AB378" s="23"/>
      <c r="AC378" s="36"/>
      <c r="AD378" s="36"/>
      <c r="AE378" s="23"/>
      <c r="AF378" s="23"/>
      <c r="AG378" s="23"/>
      <c r="AH378" s="23"/>
      <c r="AI378" s="23"/>
      <c r="AJ378" s="36"/>
      <c r="AK378" s="23"/>
    </row>
    <row r="379" spans="1:37" ht="33" hidden="1" x14ac:dyDescent="0.3">
      <c r="B379" s="23" t="s">
        <v>363</v>
      </c>
      <c r="C379" s="34"/>
      <c r="D379" s="23"/>
      <c r="E379" s="23"/>
      <c r="F379" s="23"/>
      <c r="G379" s="35"/>
      <c r="H379" s="36"/>
      <c r="I379" s="36"/>
      <c r="J379" s="35"/>
      <c r="K379" s="35"/>
      <c r="L379" s="30" t="s">
        <v>329</v>
      </c>
      <c r="M379" s="30" t="s">
        <v>384</v>
      </c>
      <c r="N379" s="24"/>
      <c r="O379" s="24"/>
      <c r="P379" s="23"/>
      <c r="Q379" s="30" t="s">
        <v>385</v>
      </c>
      <c r="R379" s="59">
        <v>28246</v>
      </c>
      <c r="S379" s="59">
        <v>28915</v>
      </c>
      <c r="T379" s="39">
        <v>46</v>
      </c>
      <c r="U379" s="40">
        <v>0</v>
      </c>
      <c r="V379" s="40">
        <v>0</v>
      </c>
      <c r="W379" s="40"/>
      <c r="X379" s="23"/>
      <c r="Y379" s="23"/>
      <c r="Z379" s="23"/>
      <c r="AA379" s="23"/>
      <c r="AB379" s="23"/>
      <c r="AC379" s="36"/>
      <c r="AD379" s="36"/>
      <c r="AE379" s="23"/>
      <c r="AF379" s="23"/>
      <c r="AG379" s="23"/>
      <c r="AH379" s="23"/>
      <c r="AI379" s="23"/>
      <c r="AJ379" s="36"/>
      <c r="AK379" s="23"/>
    </row>
    <row r="380" spans="1:37" ht="33" hidden="1" x14ac:dyDescent="0.3">
      <c r="B380" s="23" t="s">
        <v>363</v>
      </c>
      <c r="C380" s="34"/>
      <c r="D380" s="23"/>
      <c r="E380" s="23"/>
      <c r="F380" s="23"/>
      <c r="G380" s="35"/>
      <c r="H380" s="36"/>
      <c r="I380" s="36"/>
      <c r="J380" s="35"/>
      <c r="K380" s="35"/>
      <c r="L380" s="30" t="s">
        <v>383</v>
      </c>
      <c r="M380" s="30" t="s">
        <v>386</v>
      </c>
      <c r="N380" s="25"/>
      <c r="O380" s="24"/>
      <c r="P380" s="23"/>
      <c r="Q380" s="23" t="s">
        <v>385</v>
      </c>
      <c r="R380" s="59">
        <v>26846</v>
      </c>
      <c r="S380" s="59">
        <v>28216</v>
      </c>
      <c r="T380" s="39">
        <v>1</v>
      </c>
      <c r="U380" s="40">
        <v>0</v>
      </c>
      <c r="V380" s="40">
        <v>0</v>
      </c>
      <c r="W380" s="40"/>
      <c r="X380" s="23"/>
      <c r="Y380" s="23"/>
      <c r="Z380" s="23"/>
      <c r="AA380" s="23"/>
      <c r="AB380" s="23"/>
      <c r="AC380" s="36"/>
      <c r="AD380" s="36"/>
      <c r="AE380" s="23"/>
      <c r="AF380" s="23"/>
      <c r="AG380" s="23"/>
      <c r="AH380" s="23"/>
      <c r="AI380" s="23"/>
      <c r="AJ380" s="36"/>
      <c r="AK380" s="23"/>
    </row>
    <row r="381" spans="1:37" hidden="1" x14ac:dyDescent="0.3">
      <c r="B381" s="23"/>
      <c r="C381" s="34"/>
      <c r="D381" s="23"/>
      <c r="E381" s="23"/>
      <c r="F381" s="23"/>
      <c r="G381" s="35"/>
      <c r="H381" s="36"/>
      <c r="I381" s="36"/>
      <c r="J381" s="35"/>
      <c r="K381" s="35"/>
      <c r="L381" s="61"/>
      <c r="M381" s="30"/>
      <c r="N381" s="25"/>
      <c r="O381" s="24"/>
      <c r="P381" s="23"/>
      <c r="Q381" s="23"/>
      <c r="R381" s="59"/>
      <c r="S381" s="59"/>
      <c r="T381" s="39"/>
      <c r="U381" s="40"/>
      <c r="V381" s="40"/>
      <c r="W381" s="62"/>
      <c r="X381" s="23"/>
      <c r="Y381" s="23"/>
      <c r="Z381" s="23"/>
      <c r="AA381" s="23"/>
      <c r="AB381" s="23"/>
      <c r="AC381" s="36"/>
      <c r="AD381" s="36"/>
      <c r="AE381" s="23"/>
      <c r="AF381" s="23"/>
      <c r="AG381" s="23"/>
      <c r="AH381" s="23"/>
      <c r="AI381" s="23"/>
      <c r="AJ381" s="36"/>
      <c r="AK381" s="23"/>
    </row>
    <row r="382" spans="1:37" ht="33" x14ac:dyDescent="0.3">
      <c r="A382">
        <v>25</v>
      </c>
      <c r="B382" s="4" t="s">
        <v>868</v>
      </c>
      <c r="C382" s="3">
        <v>21743</v>
      </c>
      <c r="D382" s="4" t="s">
        <v>387</v>
      </c>
      <c r="E382" s="4" t="s">
        <v>119</v>
      </c>
      <c r="F382" s="4" t="s">
        <v>120</v>
      </c>
      <c r="G382" s="5">
        <v>39569</v>
      </c>
      <c r="H382" s="8">
        <f ca="1">(DATEDIF(G382,TODAY(),"m")+1)/12</f>
        <v>14.666666666666666</v>
      </c>
      <c r="I382" s="8" t="s">
        <v>121</v>
      </c>
      <c r="J382" s="5">
        <v>44881</v>
      </c>
      <c r="K382" s="5" t="s">
        <v>75</v>
      </c>
      <c r="L382" s="11" t="s">
        <v>869</v>
      </c>
      <c r="M382" s="10" t="s">
        <v>870</v>
      </c>
      <c r="N382" s="12" t="s">
        <v>871</v>
      </c>
      <c r="O382" s="9"/>
      <c r="P382" s="12" t="s">
        <v>57</v>
      </c>
      <c r="Q382" s="9" t="s">
        <v>872</v>
      </c>
      <c r="R382" s="13">
        <v>43435</v>
      </c>
      <c r="S382" s="13">
        <v>44105</v>
      </c>
      <c r="T382" s="6">
        <f t="shared" ref="T382:T399" si="0">DATEDIF(R382,S382,"M")+1</f>
        <v>23</v>
      </c>
      <c r="U382" s="7">
        <f t="shared" ref="U382:U398" si="1">IF(ISBLANK(R383),,IF(OR(R382&lt;S383,R382=S383),DATEDIF(R382,S383,"m")+1,))</f>
        <v>1</v>
      </c>
      <c r="V382" s="7">
        <f t="shared" ref="V382:V398" si="2">IF(ISBLANK(R383),,IF(R382&gt;S383,DATEDIF(S383,R382,"m")-1,))</f>
        <v>0</v>
      </c>
      <c r="W382" s="14" t="s">
        <v>873</v>
      </c>
      <c r="X382" s="4"/>
      <c r="Y382" s="4">
        <v>3</v>
      </c>
      <c r="Z382" s="4"/>
      <c r="AA382" s="20" t="s">
        <v>85</v>
      </c>
      <c r="AB382" s="20" t="s">
        <v>58</v>
      </c>
      <c r="AC382" s="8">
        <v>30</v>
      </c>
      <c r="AD382" s="8">
        <v>14.08</v>
      </c>
      <c r="AE382" s="4">
        <v>7</v>
      </c>
      <c r="AF382" s="20">
        <v>6</v>
      </c>
      <c r="AG382" s="20">
        <v>0</v>
      </c>
      <c r="AH382" s="20">
        <v>14.75</v>
      </c>
      <c r="AI382" s="20">
        <v>0</v>
      </c>
      <c r="AJ382" s="21">
        <v>7.42</v>
      </c>
      <c r="AK382" s="20">
        <v>6</v>
      </c>
    </row>
    <row r="383" spans="1:37" ht="28.5" hidden="1" x14ac:dyDescent="0.3">
      <c r="B383" s="4" t="s">
        <v>868</v>
      </c>
      <c r="C383" s="15"/>
      <c r="D383" s="16"/>
      <c r="E383" s="16"/>
      <c r="F383" s="16"/>
      <c r="G383" s="17"/>
      <c r="H383" s="18"/>
      <c r="I383" s="18"/>
      <c r="J383" s="17"/>
      <c r="K383" s="17"/>
      <c r="L383" s="12" t="s">
        <v>62</v>
      </c>
      <c r="M383" s="10" t="s">
        <v>874</v>
      </c>
      <c r="N383" s="12"/>
      <c r="O383" s="9" t="s">
        <v>85</v>
      </c>
      <c r="P383" s="12" t="s">
        <v>86</v>
      </c>
      <c r="Q383" s="9" t="s">
        <v>875</v>
      </c>
      <c r="R383" s="13">
        <v>42856</v>
      </c>
      <c r="S383" s="13">
        <v>43435</v>
      </c>
      <c r="T383" s="6">
        <f t="shared" si="0"/>
        <v>20</v>
      </c>
      <c r="U383" s="7">
        <f t="shared" si="1"/>
        <v>0</v>
      </c>
      <c r="V383" s="7">
        <f t="shared" si="2"/>
        <v>0</v>
      </c>
      <c r="W383" s="19"/>
      <c r="X383" s="16"/>
      <c r="Y383" s="16"/>
      <c r="Z383" s="16"/>
      <c r="AA383" s="22"/>
      <c r="AB383" s="22"/>
      <c r="AC383" s="18"/>
      <c r="AD383" s="18"/>
      <c r="AE383" s="4"/>
      <c r="AF383" s="20"/>
      <c r="AG383" s="20"/>
      <c r="AH383" s="20"/>
      <c r="AI383" s="20"/>
      <c r="AJ383" s="20"/>
      <c r="AK383" s="20"/>
    </row>
    <row r="384" spans="1:37" ht="28.5" hidden="1" x14ac:dyDescent="0.3">
      <c r="B384" s="4" t="s">
        <v>868</v>
      </c>
      <c r="C384" s="3"/>
      <c r="D384" s="4"/>
      <c r="E384" s="4"/>
      <c r="F384" s="4"/>
      <c r="G384" s="5"/>
      <c r="H384" s="8"/>
      <c r="I384" s="8"/>
      <c r="J384" s="5"/>
      <c r="K384" s="5"/>
      <c r="L384" s="12" t="s">
        <v>876</v>
      </c>
      <c r="M384" s="10" t="s">
        <v>877</v>
      </c>
      <c r="N384" s="12" t="s">
        <v>60</v>
      </c>
      <c r="O384" s="9"/>
      <c r="P384" s="12" t="s">
        <v>57</v>
      </c>
      <c r="Q384" s="9" t="s">
        <v>36</v>
      </c>
      <c r="R384" s="13">
        <v>42705</v>
      </c>
      <c r="S384" s="13">
        <v>42826</v>
      </c>
      <c r="T384" s="6">
        <f t="shared" si="0"/>
        <v>5</v>
      </c>
      <c r="U384" s="7">
        <f t="shared" si="1"/>
        <v>4</v>
      </c>
      <c r="V384" s="7">
        <f t="shared" si="2"/>
        <v>0</v>
      </c>
      <c r="W384" s="7"/>
      <c r="X384" s="4"/>
      <c r="Y384" s="4"/>
      <c r="Z384" s="4"/>
      <c r="AA384" s="20"/>
      <c r="AB384" s="20"/>
      <c r="AC384" s="8"/>
      <c r="AD384" s="8"/>
      <c r="AE384" s="4"/>
      <c r="AF384" s="20"/>
      <c r="AG384" s="20"/>
      <c r="AH384" s="20"/>
      <c r="AI384" s="20"/>
      <c r="AJ384" s="20"/>
      <c r="AK384" s="20"/>
    </row>
    <row r="385" spans="2:37" hidden="1" x14ac:dyDescent="0.3">
      <c r="B385" s="4" t="s">
        <v>868</v>
      </c>
      <c r="C385" s="3"/>
      <c r="D385" s="4"/>
      <c r="E385" s="4"/>
      <c r="F385" s="4"/>
      <c r="G385" s="5"/>
      <c r="H385" s="8"/>
      <c r="I385" s="8"/>
      <c r="J385" s="5"/>
      <c r="K385" s="5"/>
      <c r="L385" s="12" t="s">
        <v>878</v>
      </c>
      <c r="M385" s="10" t="s">
        <v>879</v>
      </c>
      <c r="N385" s="12"/>
      <c r="O385" s="9" t="s">
        <v>880</v>
      </c>
      <c r="P385" s="12" t="s">
        <v>881</v>
      </c>
      <c r="Q385" s="9" t="s">
        <v>882</v>
      </c>
      <c r="R385" s="13">
        <v>42705</v>
      </c>
      <c r="S385" s="13">
        <v>42795</v>
      </c>
      <c r="T385" s="6">
        <f t="shared" si="0"/>
        <v>4</v>
      </c>
      <c r="U385" s="7">
        <f t="shared" si="1"/>
        <v>0</v>
      </c>
      <c r="V385" s="7">
        <f t="shared" si="2"/>
        <v>3</v>
      </c>
      <c r="W385" s="7"/>
      <c r="X385" s="4"/>
      <c r="Y385" s="4"/>
      <c r="Z385" s="4"/>
      <c r="AA385" s="20"/>
      <c r="AB385" s="20"/>
      <c r="AC385" s="8"/>
      <c r="AD385" s="8"/>
      <c r="AE385" s="4"/>
      <c r="AF385" s="20"/>
      <c r="AG385" s="20"/>
      <c r="AH385" s="20"/>
      <c r="AI385" s="20"/>
      <c r="AJ385" s="20"/>
      <c r="AK385" s="20"/>
    </row>
    <row r="386" spans="2:37" hidden="1" x14ac:dyDescent="0.3">
      <c r="B386" s="4" t="s">
        <v>868</v>
      </c>
      <c r="C386" s="3"/>
      <c r="D386" s="4"/>
      <c r="E386" s="4"/>
      <c r="F386" s="4"/>
      <c r="G386" s="5"/>
      <c r="H386" s="8"/>
      <c r="I386" s="8"/>
      <c r="J386" s="5"/>
      <c r="K386" s="5"/>
      <c r="L386" s="12" t="s">
        <v>883</v>
      </c>
      <c r="M386" s="10" t="s">
        <v>884</v>
      </c>
      <c r="N386" s="12"/>
      <c r="O386" s="9" t="s">
        <v>880</v>
      </c>
      <c r="P386" s="12" t="s">
        <v>881</v>
      </c>
      <c r="Q386" s="9" t="s">
        <v>882</v>
      </c>
      <c r="R386" s="13">
        <v>42401</v>
      </c>
      <c r="S386" s="13">
        <v>42583</v>
      </c>
      <c r="T386" s="6">
        <f t="shared" si="0"/>
        <v>7</v>
      </c>
      <c r="U386" s="7">
        <f t="shared" si="1"/>
        <v>0</v>
      </c>
      <c r="V386" s="7">
        <f t="shared" si="2"/>
        <v>0</v>
      </c>
      <c r="W386" s="7"/>
      <c r="X386" s="4"/>
      <c r="Y386" s="4"/>
      <c r="Z386" s="4"/>
      <c r="AA386" s="20"/>
      <c r="AB386" s="20"/>
      <c r="AC386" s="8"/>
      <c r="AD386" s="8"/>
      <c r="AE386" s="4"/>
      <c r="AF386" s="20"/>
      <c r="AG386" s="20"/>
      <c r="AH386" s="20"/>
      <c r="AI386" s="20"/>
      <c r="AJ386" s="20"/>
      <c r="AK386" s="20"/>
    </row>
    <row r="387" spans="2:37" hidden="1" x14ac:dyDescent="0.3">
      <c r="B387" s="4" t="s">
        <v>868</v>
      </c>
      <c r="C387" s="3"/>
      <c r="D387" s="4"/>
      <c r="E387" s="4"/>
      <c r="F387" s="4"/>
      <c r="G387" s="5"/>
      <c r="H387" s="8"/>
      <c r="I387" s="8"/>
      <c r="J387" s="5"/>
      <c r="K387" s="5"/>
      <c r="L387" s="12" t="s">
        <v>62</v>
      </c>
      <c r="M387" s="10" t="s">
        <v>885</v>
      </c>
      <c r="N387" s="12"/>
      <c r="O387" s="9" t="s">
        <v>886</v>
      </c>
      <c r="P387" s="12" t="s">
        <v>86</v>
      </c>
      <c r="Q387" s="9" t="s">
        <v>36</v>
      </c>
      <c r="R387" s="13">
        <v>42339</v>
      </c>
      <c r="S387" s="13">
        <v>42370</v>
      </c>
      <c r="T387" s="6">
        <f t="shared" si="0"/>
        <v>2</v>
      </c>
      <c r="U387" s="7">
        <f t="shared" si="1"/>
        <v>0</v>
      </c>
      <c r="V387" s="7">
        <f t="shared" si="2"/>
        <v>0</v>
      </c>
      <c r="W387" s="7"/>
      <c r="X387" s="4"/>
      <c r="Y387" s="4"/>
      <c r="Z387" s="4"/>
      <c r="AA387" s="20"/>
      <c r="AB387" s="20"/>
      <c r="AC387" s="8"/>
      <c r="AD387" s="8"/>
      <c r="AE387" s="4"/>
      <c r="AF387" s="20"/>
      <c r="AG387" s="20"/>
      <c r="AH387" s="20"/>
      <c r="AI387" s="20"/>
      <c r="AJ387" s="20"/>
      <c r="AK387" s="20"/>
    </row>
    <row r="388" spans="2:37" ht="28.5" hidden="1" x14ac:dyDescent="0.3">
      <c r="B388" s="4" t="s">
        <v>868</v>
      </c>
      <c r="C388" s="3"/>
      <c r="D388" s="4"/>
      <c r="E388" s="4"/>
      <c r="F388" s="4"/>
      <c r="G388" s="5"/>
      <c r="H388" s="8"/>
      <c r="I388" s="8"/>
      <c r="J388" s="5"/>
      <c r="K388" s="5"/>
      <c r="L388" s="12" t="s">
        <v>887</v>
      </c>
      <c r="M388" s="10" t="s">
        <v>888</v>
      </c>
      <c r="N388" s="12"/>
      <c r="O388" s="9"/>
      <c r="P388" s="12" t="s">
        <v>86</v>
      </c>
      <c r="Q388" s="9" t="s">
        <v>882</v>
      </c>
      <c r="R388" s="13">
        <v>41365</v>
      </c>
      <c r="S388" s="13">
        <v>42309</v>
      </c>
      <c r="T388" s="6">
        <f t="shared" si="0"/>
        <v>32</v>
      </c>
      <c r="U388" s="7">
        <f t="shared" si="1"/>
        <v>12</v>
      </c>
      <c r="V388" s="7">
        <f t="shared" si="2"/>
        <v>0</v>
      </c>
      <c r="W388" s="7"/>
      <c r="X388" s="4"/>
      <c r="Y388" s="4"/>
      <c r="Z388" s="4"/>
      <c r="AA388" s="20"/>
      <c r="AB388" s="20"/>
      <c r="AC388" s="8"/>
      <c r="AD388" s="8"/>
      <c r="AE388" s="4"/>
      <c r="AF388" s="20"/>
      <c r="AG388" s="20"/>
      <c r="AH388" s="20"/>
      <c r="AI388" s="20"/>
      <c r="AJ388" s="20"/>
      <c r="AK388" s="20"/>
    </row>
    <row r="389" spans="2:37" hidden="1" x14ac:dyDescent="0.3">
      <c r="B389" s="4" t="s">
        <v>868</v>
      </c>
      <c r="C389" s="3"/>
      <c r="D389" s="4"/>
      <c r="E389" s="4"/>
      <c r="F389" s="4"/>
      <c r="G389" s="5"/>
      <c r="H389" s="8"/>
      <c r="I389" s="8"/>
      <c r="J389" s="5"/>
      <c r="K389" s="5"/>
      <c r="L389" s="12" t="s">
        <v>887</v>
      </c>
      <c r="M389" s="10" t="s">
        <v>889</v>
      </c>
      <c r="N389" s="12"/>
      <c r="O389" s="9" t="s">
        <v>880</v>
      </c>
      <c r="P389" s="12" t="s">
        <v>86</v>
      </c>
      <c r="Q389" s="9" t="s">
        <v>890</v>
      </c>
      <c r="R389" s="13">
        <v>41183</v>
      </c>
      <c r="S389" s="13">
        <v>41699</v>
      </c>
      <c r="T389" s="6">
        <f t="shared" si="0"/>
        <v>18</v>
      </c>
      <c r="U389" s="7">
        <f t="shared" si="1"/>
        <v>0</v>
      </c>
      <c r="V389" s="7">
        <f t="shared" si="2"/>
        <v>3</v>
      </c>
      <c r="W389" s="7"/>
      <c r="X389" s="4"/>
      <c r="Y389" s="4"/>
      <c r="Z389" s="4"/>
      <c r="AA389" s="20"/>
      <c r="AB389" s="20"/>
      <c r="AC389" s="8"/>
      <c r="AD389" s="8"/>
      <c r="AE389" s="4"/>
      <c r="AF389" s="20"/>
      <c r="AG389" s="20"/>
      <c r="AH389" s="20"/>
      <c r="AI389" s="20"/>
      <c r="AJ389" s="20"/>
      <c r="AK389" s="20"/>
    </row>
    <row r="390" spans="2:37" hidden="1" x14ac:dyDescent="0.3">
      <c r="B390" s="4" t="s">
        <v>868</v>
      </c>
      <c r="C390" s="3"/>
      <c r="D390" s="4"/>
      <c r="E390" s="4"/>
      <c r="F390" s="4"/>
      <c r="G390" s="5"/>
      <c r="H390" s="8"/>
      <c r="I390" s="8"/>
      <c r="J390" s="5"/>
      <c r="K390" s="5"/>
      <c r="L390" s="12" t="s">
        <v>95</v>
      </c>
      <c r="M390" s="10" t="s">
        <v>891</v>
      </c>
      <c r="N390" s="12"/>
      <c r="O390" s="9" t="s">
        <v>886</v>
      </c>
      <c r="P390" s="12" t="s">
        <v>133</v>
      </c>
      <c r="Q390" s="9" t="s">
        <v>875</v>
      </c>
      <c r="R390" s="13">
        <v>40330</v>
      </c>
      <c r="S390" s="13">
        <v>41061</v>
      </c>
      <c r="T390" s="6">
        <f t="shared" si="0"/>
        <v>25</v>
      </c>
      <c r="U390" s="7">
        <f t="shared" si="1"/>
        <v>2</v>
      </c>
      <c r="V390" s="7">
        <f t="shared" si="2"/>
        <v>0</v>
      </c>
      <c r="W390" s="7"/>
      <c r="X390" s="4"/>
      <c r="Y390" s="4"/>
      <c r="Z390" s="4"/>
      <c r="AA390" s="20"/>
      <c r="AB390" s="20"/>
      <c r="AC390" s="8"/>
      <c r="AD390" s="8"/>
      <c r="AE390" s="4"/>
      <c r="AF390" s="20"/>
      <c r="AG390" s="20"/>
      <c r="AH390" s="20"/>
      <c r="AI390" s="20"/>
      <c r="AJ390" s="20"/>
      <c r="AK390" s="20"/>
    </row>
    <row r="391" spans="2:37" hidden="1" x14ac:dyDescent="0.3">
      <c r="B391" s="4" t="s">
        <v>868</v>
      </c>
      <c r="C391" s="3"/>
      <c r="D391" s="4"/>
      <c r="E391" s="4"/>
      <c r="F391" s="4"/>
      <c r="G391" s="5"/>
      <c r="H391" s="8"/>
      <c r="I391" s="8"/>
      <c r="J391" s="5"/>
      <c r="K391" s="5"/>
      <c r="L391" s="12" t="s">
        <v>62</v>
      </c>
      <c r="M391" s="10" t="s">
        <v>892</v>
      </c>
      <c r="N391" s="12"/>
      <c r="O391" s="9"/>
      <c r="P391" s="12" t="s">
        <v>86</v>
      </c>
      <c r="Q391" s="9" t="s">
        <v>875</v>
      </c>
      <c r="R391" s="13">
        <v>40118</v>
      </c>
      <c r="S391" s="13">
        <v>40360</v>
      </c>
      <c r="T391" s="6">
        <f t="shared" si="0"/>
        <v>9</v>
      </c>
      <c r="U391" s="7">
        <f t="shared" si="1"/>
        <v>2</v>
      </c>
      <c r="V391" s="7">
        <f t="shared" si="2"/>
        <v>0</v>
      </c>
      <c r="W391" s="7"/>
      <c r="X391" s="4"/>
      <c r="Y391" s="4"/>
      <c r="Z391" s="4"/>
      <c r="AA391" s="20"/>
      <c r="AB391" s="20"/>
      <c r="AC391" s="8"/>
      <c r="AD391" s="8"/>
      <c r="AE391" s="4"/>
      <c r="AF391" s="20"/>
      <c r="AG391" s="20"/>
      <c r="AH391" s="20"/>
      <c r="AI391" s="20"/>
      <c r="AJ391" s="20"/>
      <c r="AK391" s="20"/>
    </row>
    <row r="392" spans="2:37" hidden="1" x14ac:dyDescent="0.3">
      <c r="B392" s="4" t="s">
        <v>868</v>
      </c>
      <c r="C392" s="3"/>
      <c r="D392" s="4"/>
      <c r="E392" s="4"/>
      <c r="F392" s="4"/>
      <c r="G392" s="5"/>
      <c r="H392" s="8"/>
      <c r="I392" s="8"/>
      <c r="J392" s="5"/>
      <c r="K392" s="5"/>
      <c r="L392" s="12" t="s">
        <v>62</v>
      </c>
      <c r="M392" s="10" t="s">
        <v>893</v>
      </c>
      <c r="N392" s="12"/>
      <c r="O392" s="9"/>
      <c r="P392" s="12" t="s">
        <v>86</v>
      </c>
      <c r="Q392" s="9" t="s">
        <v>882</v>
      </c>
      <c r="R392" s="13">
        <v>40057</v>
      </c>
      <c r="S392" s="13">
        <v>40148</v>
      </c>
      <c r="T392" s="6">
        <f t="shared" si="0"/>
        <v>4</v>
      </c>
      <c r="U392" s="7">
        <f t="shared" si="1"/>
        <v>0</v>
      </c>
      <c r="V392" s="7">
        <f t="shared" si="2"/>
        <v>1</v>
      </c>
      <c r="W392" s="7"/>
      <c r="X392" s="4"/>
      <c r="Y392" s="4"/>
      <c r="Z392" s="4"/>
      <c r="AA392" s="20"/>
      <c r="AB392" s="20"/>
      <c r="AC392" s="8"/>
      <c r="AD392" s="8"/>
      <c r="AE392" s="4"/>
      <c r="AF392" s="20"/>
      <c r="AG392" s="20"/>
      <c r="AH392" s="20"/>
      <c r="AI392" s="20"/>
      <c r="AJ392" s="20"/>
      <c r="AK392" s="20"/>
    </row>
    <row r="393" spans="2:37" hidden="1" x14ac:dyDescent="0.3">
      <c r="B393" s="4" t="s">
        <v>868</v>
      </c>
      <c r="C393" s="3"/>
      <c r="D393" s="4"/>
      <c r="E393" s="4"/>
      <c r="F393" s="4"/>
      <c r="G393" s="5"/>
      <c r="H393" s="8"/>
      <c r="I393" s="8"/>
      <c r="J393" s="5"/>
      <c r="K393" s="5"/>
      <c r="L393" s="12" t="s">
        <v>62</v>
      </c>
      <c r="M393" s="10" t="s">
        <v>894</v>
      </c>
      <c r="N393" s="12"/>
      <c r="O393" s="9"/>
      <c r="P393" s="12" t="s">
        <v>133</v>
      </c>
      <c r="Q393" s="9" t="s">
        <v>882</v>
      </c>
      <c r="R393" s="13">
        <v>39873</v>
      </c>
      <c r="S393" s="13">
        <v>39995</v>
      </c>
      <c r="T393" s="6">
        <f t="shared" si="0"/>
        <v>5</v>
      </c>
      <c r="U393" s="7">
        <f t="shared" si="1"/>
        <v>0</v>
      </c>
      <c r="V393" s="7">
        <f t="shared" si="2"/>
        <v>6</v>
      </c>
      <c r="W393" s="7"/>
      <c r="X393" s="4"/>
      <c r="Y393" s="4"/>
      <c r="Z393" s="4"/>
      <c r="AA393" s="20"/>
      <c r="AB393" s="20"/>
      <c r="AC393" s="8"/>
      <c r="AD393" s="8"/>
      <c r="AE393" s="4"/>
      <c r="AF393" s="20"/>
      <c r="AG393" s="20"/>
      <c r="AH393" s="20"/>
      <c r="AI393" s="20"/>
      <c r="AJ393" s="20"/>
      <c r="AK393" s="20"/>
    </row>
    <row r="394" spans="2:37" hidden="1" x14ac:dyDescent="0.3">
      <c r="B394" s="4" t="s">
        <v>868</v>
      </c>
      <c r="C394" s="3"/>
      <c r="D394" s="4"/>
      <c r="E394" s="4"/>
      <c r="F394" s="4"/>
      <c r="G394" s="5"/>
      <c r="H394" s="8"/>
      <c r="I394" s="8"/>
      <c r="J394" s="5"/>
      <c r="K394" s="5"/>
      <c r="L394" s="12" t="s">
        <v>62</v>
      </c>
      <c r="M394" s="10" t="s">
        <v>895</v>
      </c>
      <c r="N394" s="12"/>
      <c r="O394" s="9"/>
      <c r="P394" s="12" t="s">
        <v>57</v>
      </c>
      <c r="Q394" s="9" t="s">
        <v>36</v>
      </c>
      <c r="R394" s="13">
        <v>39569</v>
      </c>
      <c r="S394" s="13">
        <v>39661</v>
      </c>
      <c r="T394" s="6">
        <f t="shared" si="0"/>
        <v>4</v>
      </c>
      <c r="U394" s="7">
        <f t="shared" si="1"/>
        <v>0</v>
      </c>
      <c r="V394" s="7">
        <f t="shared" si="2"/>
        <v>0</v>
      </c>
      <c r="W394" s="7"/>
      <c r="X394" s="4"/>
      <c r="Y394" s="4"/>
      <c r="Z394" s="4"/>
      <c r="AA394" s="20"/>
      <c r="AB394" s="20"/>
      <c r="AC394" s="8"/>
      <c r="AD394" s="8"/>
      <c r="AE394" s="4"/>
      <c r="AF394" s="20"/>
      <c r="AG394" s="20"/>
      <c r="AH394" s="20"/>
      <c r="AI394" s="20"/>
      <c r="AJ394" s="20"/>
      <c r="AK394" s="20"/>
    </row>
    <row r="395" spans="2:37" hidden="1" x14ac:dyDescent="0.3">
      <c r="B395" s="4" t="s">
        <v>868</v>
      </c>
      <c r="C395" s="3"/>
      <c r="D395" s="4"/>
      <c r="E395" s="4"/>
      <c r="F395" s="4"/>
      <c r="G395" s="5"/>
      <c r="H395" s="8"/>
      <c r="I395" s="8"/>
      <c r="J395" s="5"/>
      <c r="K395" s="5"/>
      <c r="L395" s="12" t="s">
        <v>62</v>
      </c>
      <c r="M395" s="10" t="s">
        <v>896</v>
      </c>
      <c r="N395" s="12"/>
      <c r="O395" s="9" t="s">
        <v>85</v>
      </c>
      <c r="P395" s="12" t="s">
        <v>86</v>
      </c>
      <c r="Q395" s="9" t="s">
        <v>875</v>
      </c>
      <c r="R395" s="13">
        <v>38777</v>
      </c>
      <c r="S395" s="13">
        <v>39539</v>
      </c>
      <c r="T395" s="6">
        <f t="shared" si="0"/>
        <v>26</v>
      </c>
      <c r="U395" s="7">
        <f t="shared" si="1"/>
        <v>1</v>
      </c>
      <c r="V395" s="7">
        <f t="shared" si="2"/>
        <v>0</v>
      </c>
      <c r="W395" s="7"/>
      <c r="X395" s="4"/>
      <c r="Y395" s="4"/>
      <c r="Z395" s="4"/>
      <c r="AA395" s="20"/>
      <c r="AB395" s="20"/>
      <c r="AC395" s="8"/>
      <c r="AD395" s="8"/>
      <c r="AE395" s="4"/>
      <c r="AF395" s="20"/>
      <c r="AG395" s="20"/>
      <c r="AH395" s="20"/>
      <c r="AI395" s="20"/>
      <c r="AJ395" s="20"/>
      <c r="AK395" s="20"/>
    </row>
    <row r="396" spans="2:37" ht="28.5" hidden="1" x14ac:dyDescent="0.3">
      <c r="B396" s="4" t="s">
        <v>868</v>
      </c>
      <c r="C396" s="3"/>
      <c r="D396" s="4"/>
      <c r="E396" s="4"/>
      <c r="F396" s="4"/>
      <c r="G396" s="5"/>
      <c r="H396" s="8"/>
      <c r="I396" s="8"/>
      <c r="J396" s="5"/>
      <c r="K396" s="5"/>
      <c r="L396" s="12" t="s">
        <v>62</v>
      </c>
      <c r="M396" s="10" t="s">
        <v>897</v>
      </c>
      <c r="N396" s="12"/>
      <c r="O396" s="9" t="s">
        <v>85</v>
      </c>
      <c r="P396" s="12" t="s">
        <v>57</v>
      </c>
      <c r="Q396" s="9" t="s">
        <v>36</v>
      </c>
      <c r="R396" s="13">
        <v>38108</v>
      </c>
      <c r="S396" s="13">
        <v>38777</v>
      </c>
      <c r="T396" s="6">
        <f t="shared" si="0"/>
        <v>23</v>
      </c>
      <c r="U396" s="7">
        <f t="shared" si="1"/>
        <v>0</v>
      </c>
      <c r="V396" s="7">
        <f t="shared" si="2"/>
        <v>28</v>
      </c>
      <c r="W396" s="7"/>
      <c r="X396" s="4"/>
      <c r="Y396" s="4"/>
      <c r="Z396" s="4"/>
      <c r="AA396" s="20"/>
      <c r="AB396" s="20"/>
      <c r="AC396" s="8"/>
      <c r="AD396" s="8"/>
      <c r="AE396" s="4"/>
      <c r="AF396" s="20"/>
      <c r="AG396" s="20"/>
      <c r="AH396" s="20"/>
      <c r="AI396" s="20"/>
      <c r="AJ396" s="20"/>
      <c r="AK396" s="20"/>
    </row>
    <row r="397" spans="2:37" hidden="1" x14ac:dyDescent="0.3">
      <c r="B397" s="4" t="s">
        <v>868</v>
      </c>
      <c r="C397" s="3"/>
      <c r="D397" s="4"/>
      <c r="E397" s="4"/>
      <c r="F397" s="4"/>
      <c r="G397" s="5"/>
      <c r="H397" s="8"/>
      <c r="I397" s="8"/>
      <c r="J397" s="5"/>
      <c r="K397" s="5"/>
      <c r="L397" s="12" t="s">
        <v>62</v>
      </c>
      <c r="M397" s="10" t="s">
        <v>898</v>
      </c>
      <c r="N397" s="12"/>
      <c r="O397" s="9" t="s">
        <v>85</v>
      </c>
      <c r="P397" s="12" t="s">
        <v>57</v>
      </c>
      <c r="Q397" s="9" t="s">
        <v>36</v>
      </c>
      <c r="R397" s="13">
        <v>34790</v>
      </c>
      <c r="S397" s="13">
        <v>37226</v>
      </c>
      <c r="T397" s="6">
        <f t="shared" si="0"/>
        <v>81</v>
      </c>
      <c r="U397" s="7">
        <f t="shared" si="1"/>
        <v>0</v>
      </c>
      <c r="V397" s="7">
        <f t="shared" si="2"/>
        <v>2</v>
      </c>
      <c r="W397" s="7"/>
      <c r="X397" s="4"/>
      <c r="Y397" s="4"/>
      <c r="Z397" s="4"/>
      <c r="AA397" s="20"/>
      <c r="AB397" s="20"/>
      <c r="AC397" s="8"/>
      <c r="AD397" s="8"/>
      <c r="AE397" s="4"/>
      <c r="AF397" s="20"/>
      <c r="AG397" s="20"/>
      <c r="AH397" s="20"/>
      <c r="AI397" s="20"/>
      <c r="AJ397" s="20"/>
      <c r="AK397" s="20"/>
    </row>
    <row r="398" spans="2:37" hidden="1" x14ac:dyDescent="0.3">
      <c r="B398" s="4" t="s">
        <v>868</v>
      </c>
      <c r="C398" s="3"/>
      <c r="D398" s="4"/>
      <c r="E398" s="4"/>
      <c r="F398" s="4"/>
      <c r="G398" s="5"/>
      <c r="H398" s="8"/>
      <c r="I398" s="8"/>
      <c r="J398" s="5"/>
      <c r="K398" s="5"/>
      <c r="L398" s="12" t="s">
        <v>62</v>
      </c>
      <c r="M398" s="10" t="s">
        <v>899</v>
      </c>
      <c r="N398" s="12"/>
      <c r="O398" s="9"/>
      <c r="P398" s="12" t="s">
        <v>86</v>
      </c>
      <c r="Q398" s="9" t="s">
        <v>36</v>
      </c>
      <c r="R398" s="13">
        <v>33786</v>
      </c>
      <c r="S398" s="13">
        <v>34700</v>
      </c>
      <c r="T398" s="6">
        <f t="shared" si="0"/>
        <v>31</v>
      </c>
      <c r="U398" s="7">
        <f t="shared" si="1"/>
        <v>0</v>
      </c>
      <c r="V398" s="7">
        <f t="shared" si="2"/>
        <v>0</v>
      </c>
      <c r="W398" s="7"/>
      <c r="X398" s="4"/>
      <c r="Y398" s="4"/>
      <c r="Z398" s="4"/>
      <c r="AA398" s="20"/>
      <c r="AB398" s="20"/>
      <c r="AC398" s="8"/>
      <c r="AD398" s="8"/>
      <c r="AE398" s="4"/>
      <c r="AF398" s="20"/>
      <c r="AG398" s="20"/>
      <c r="AH398" s="20"/>
      <c r="AI398" s="20"/>
      <c r="AJ398" s="20"/>
      <c r="AK398" s="20"/>
    </row>
    <row r="399" spans="2:37" ht="28.5" hidden="1" x14ac:dyDescent="0.3">
      <c r="B399" s="4" t="s">
        <v>868</v>
      </c>
      <c r="C399" s="3"/>
      <c r="D399" s="4"/>
      <c r="E399" s="4"/>
      <c r="F399" s="4"/>
      <c r="G399" s="5"/>
      <c r="H399" s="8"/>
      <c r="I399" s="8"/>
      <c r="J399" s="5"/>
      <c r="K399" s="5"/>
      <c r="L399" s="12" t="s">
        <v>62</v>
      </c>
      <c r="M399" s="10" t="s">
        <v>900</v>
      </c>
      <c r="N399" s="12"/>
      <c r="O399" s="9"/>
      <c r="P399" s="12" t="s">
        <v>57</v>
      </c>
      <c r="Q399" s="9" t="s">
        <v>901</v>
      </c>
      <c r="R399" s="13">
        <v>32540</v>
      </c>
      <c r="S399" s="13">
        <v>33756</v>
      </c>
      <c r="T399" s="6">
        <f t="shared" si="0"/>
        <v>41</v>
      </c>
      <c r="U399" s="7">
        <f>IF(ISBLANK(R401),,IF(OR(R399&lt;S401,R399=S401),DATEDIF(R399,S401,"m")+1,))</f>
        <v>0</v>
      </c>
      <c r="V399" s="7">
        <f>IF(ISBLANK(R401),,IF(R399&gt;S401,DATEDIF(S401,R399,"m")-1,))</f>
        <v>0</v>
      </c>
      <c r="W399" s="7"/>
      <c r="X399" s="4"/>
      <c r="Y399" s="4"/>
      <c r="Z399" s="4"/>
      <c r="AA399" s="20"/>
      <c r="AB399" s="20"/>
      <c r="AC399" s="8"/>
      <c r="AD399" s="8"/>
      <c r="AE399" s="4"/>
      <c r="AF399" s="20"/>
      <c r="AG399" s="20"/>
      <c r="AH399" s="20"/>
      <c r="AI399" s="20"/>
      <c r="AJ399" s="20"/>
      <c r="AK399" s="20"/>
    </row>
    <row r="400" spans="2:37" x14ac:dyDescent="0.3">
      <c r="B400" s="4"/>
      <c r="C400" s="3"/>
      <c r="D400" s="4"/>
      <c r="E400" s="4"/>
      <c r="F400" s="4"/>
      <c r="G400" s="5"/>
      <c r="H400" s="8"/>
      <c r="I400" s="8"/>
      <c r="J400" s="5"/>
      <c r="K400" s="5"/>
      <c r="L400" s="12"/>
      <c r="M400" s="10"/>
      <c r="N400" s="12"/>
      <c r="O400" s="9"/>
      <c r="P400" s="12"/>
      <c r="Q400" s="9"/>
      <c r="R400" s="13"/>
      <c r="S400" s="13"/>
      <c r="T400" s="6"/>
      <c r="U400" s="7"/>
      <c r="V400" s="7"/>
      <c r="W400" s="7"/>
      <c r="X400" s="4"/>
      <c r="Y400" s="4"/>
      <c r="Z400" s="4"/>
      <c r="AA400" s="20"/>
      <c r="AB400" s="20"/>
      <c r="AC400" s="8"/>
      <c r="AD400" s="8"/>
      <c r="AE400" s="4"/>
      <c r="AF400" s="20"/>
      <c r="AG400" s="20"/>
      <c r="AH400" s="20"/>
      <c r="AI400" s="20"/>
      <c r="AJ400" s="20"/>
      <c r="AK400" s="20"/>
    </row>
    <row r="401" spans="2:37" x14ac:dyDescent="0.3"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>
        <v>0</v>
      </c>
      <c r="AK401" s="23">
        <v>0</v>
      </c>
    </row>
    <row r="402" spans="2:37" x14ac:dyDescent="0.3"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>
        <v>0</v>
      </c>
      <c r="AK402" s="23">
        <v>0</v>
      </c>
    </row>
    <row r="403" spans="2:37" x14ac:dyDescent="0.3"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>
        <v>0</v>
      </c>
      <c r="AK403" s="23">
        <v>0</v>
      </c>
    </row>
    <row r="404" spans="2:37" x14ac:dyDescent="0.3"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>
        <v>0</v>
      </c>
      <c r="AK404" s="23">
        <v>0</v>
      </c>
    </row>
    <row r="405" spans="2:37" x14ac:dyDescent="0.3"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>
        <v>0</v>
      </c>
      <c r="AK405" s="23">
        <v>0</v>
      </c>
    </row>
    <row r="406" spans="2:37" x14ac:dyDescent="0.3"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>
        <v>0</v>
      </c>
      <c r="AK406" s="23">
        <v>0</v>
      </c>
    </row>
    <row r="407" spans="2:37" x14ac:dyDescent="0.3"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>
        <v>0</v>
      </c>
      <c r="AK407" s="23">
        <v>0</v>
      </c>
    </row>
    <row r="408" spans="2:37" x14ac:dyDescent="0.3"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>
        <v>0</v>
      </c>
      <c r="AK408" s="23">
        <v>0</v>
      </c>
    </row>
    <row r="409" spans="2:37" x14ac:dyDescent="0.3"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>
        <v>0</v>
      </c>
      <c r="AK409" s="23">
        <v>0</v>
      </c>
    </row>
    <row r="410" spans="2:37" x14ac:dyDescent="0.3"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>
        <v>0</v>
      </c>
      <c r="AK410" s="23">
        <v>0</v>
      </c>
    </row>
    <row r="411" spans="2:37" x14ac:dyDescent="0.3"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>
        <v>0</v>
      </c>
      <c r="AK411" s="23">
        <v>0</v>
      </c>
    </row>
    <row r="412" spans="2:37" x14ac:dyDescent="0.3"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>
        <v>0</v>
      </c>
      <c r="AK412" s="23">
        <v>0</v>
      </c>
    </row>
    <row r="413" spans="2:37" x14ac:dyDescent="0.3"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>
        <v>0</v>
      </c>
      <c r="AK413" s="23">
        <v>0</v>
      </c>
    </row>
    <row r="414" spans="2:37" x14ac:dyDescent="0.3"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>
        <v>0</v>
      </c>
      <c r="AK414" s="23">
        <v>0</v>
      </c>
    </row>
    <row r="415" spans="2:37" x14ac:dyDescent="0.3"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>
        <v>0</v>
      </c>
      <c r="AK415" s="23">
        <v>0</v>
      </c>
    </row>
    <row r="416" spans="2:37" x14ac:dyDescent="0.3"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>
        <v>0</v>
      </c>
      <c r="AK416" s="23">
        <v>0</v>
      </c>
    </row>
    <row r="417" spans="2:37" x14ac:dyDescent="0.3"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>
        <v>0</v>
      </c>
      <c r="AK417" s="23">
        <v>0</v>
      </c>
    </row>
    <row r="418" spans="2:37" x14ac:dyDescent="0.3"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>
        <v>0</v>
      </c>
      <c r="AK418" s="23">
        <v>0</v>
      </c>
    </row>
    <row r="419" spans="2:37" x14ac:dyDescent="0.3"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>
        <v>0</v>
      </c>
      <c r="AK419" s="23">
        <v>0</v>
      </c>
    </row>
    <row r="420" spans="2:37" x14ac:dyDescent="0.3"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>
        <v>0</v>
      </c>
      <c r="AK420" s="23">
        <v>0</v>
      </c>
    </row>
    <row r="421" spans="2:37" x14ac:dyDescent="0.3"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>
        <v>0</v>
      </c>
      <c r="AK421" s="23">
        <v>0</v>
      </c>
    </row>
    <row r="422" spans="2:37" x14ac:dyDescent="0.3"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>
        <v>0</v>
      </c>
      <c r="AK422" s="23">
        <v>0</v>
      </c>
    </row>
    <row r="423" spans="2:37" x14ac:dyDescent="0.3"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>
        <v>0</v>
      </c>
      <c r="AK423" s="23">
        <v>0</v>
      </c>
    </row>
    <row r="424" spans="2:37" x14ac:dyDescent="0.3"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>
        <v>0</v>
      </c>
      <c r="AK424" s="23">
        <v>0</v>
      </c>
    </row>
    <row r="425" spans="2:37" x14ac:dyDescent="0.3"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>
        <v>0</v>
      </c>
      <c r="AK425" s="23">
        <v>0</v>
      </c>
    </row>
    <row r="426" spans="2:37" x14ac:dyDescent="0.3"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>
        <v>0</v>
      </c>
      <c r="AK426" s="23">
        <v>0</v>
      </c>
    </row>
    <row r="427" spans="2:37" x14ac:dyDescent="0.3"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>
        <v>0</v>
      </c>
      <c r="AK427" s="23">
        <v>0</v>
      </c>
    </row>
    <row r="428" spans="2:37" x14ac:dyDescent="0.3"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>
        <v>0</v>
      </c>
      <c r="AK428" s="23">
        <v>0</v>
      </c>
    </row>
    <row r="429" spans="2:37" x14ac:dyDescent="0.3"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>
        <v>0</v>
      </c>
      <c r="AK429" s="23">
        <v>0</v>
      </c>
    </row>
    <row r="430" spans="2:37" x14ac:dyDescent="0.3"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>
        <v>0</v>
      </c>
      <c r="AK430" s="23">
        <v>0</v>
      </c>
    </row>
    <row r="431" spans="2:37" x14ac:dyDescent="0.3"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>
        <v>0</v>
      </c>
      <c r="AK431" s="23">
        <v>0</v>
      </c>
    </row>
    <row r="432" spans="2:37" x14ac:dyDescent="0.3"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>
        <v>0</v>
      </c>
      <c r="AK432" s="23">
        <v>0</v>
      </c>
    </row>
    <row r="433" spans="2:37" x14ac:dyDescent="0.3"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>
        <v>0</v>
      </c>
      <c r="AK433" s="23">
        <v>0</v>
      </c>
    </row>
    <row r="434" spans="2:37" x14ac:dyDescent="0.3"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>
        <v>0</v>
      </c>
      <c r="AK434" s="23">
        <v>0</v>
      </c>
    </row>
    <row r="435" spans="2:37" x14ac:dyDescent="0.3"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>
        <v>0</v>
      </c>
      <c r="AK435" s="23">
        <v>0</v>
      </c>
    </row>
    <row r="436" spans="2:37" x14ac:dyDescent="0.3"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>
        <v>0</v>
      </c>
      <c r="AK436" s="23">
        <v>0</v>
      </c>
    </row>
    <row r="437" spans="2:37" x14ac:dyDescent="0.3"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>
        <v>0</v>
      </c>
      <c r="AK437" s="23">
        <v>0</v>
      </c>
    </row>
    <row r="438" spans="2:37" x14ac:dyDescent="0.3"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>
        <v>0</v>
      </c>
      <c r="AK438" s="23">
        <v>0</v>
      </c>
    </row>
    <row r="439" spans="2:37" x14ac:dyDescent="0.3"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>
        <v>0</v>
      </c>
      <c r="AK439" s="23">
        <v>0</v>
      </c>
    </row>
    <row r="440" spans="2:37" x14ac:dyDescent="0.3"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>
        <v>0</v>
      </c>
      <c r="AK440" s="23">
        <v>0</v>
      </c>
    </row>
    <row r="441" spans="2:37" x14ac:dyDescent="0.3"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>
        <v>0</v>
      </c>
      <c r="AK441" s="23">
        <v>0</v>
      </c>
    </row>
    <row r="442" spans="2:37" x14ac:dyDescent="0.3"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>
        <v>0</v>
      </c>
      <c r="AK442" s="23">
        <v>0</v>
      </c>
    </row>
    <row r="443" spans="2:37" x14ac:dyDescent="0.3"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>
        <v>0</v>
      </c>
      <c r="AK443" s="23">
        <v>0</v>
      </c>
    </row>
    <row r="444" spans="2:37" x14ac:dyDescent="0.3"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>
        <v>0</v>
      </c>
      <c r="AK444" s="23">
        <v>0</v>
      </c>
    </row>
    <row r="445" spans="2:37" x14ac:dyDescent="0.3"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>
        <v>0</v>
      </c>
      <c r="AK445" s="23">
        <v>0</v>
      </c>
    </row>
    <row r="446" spans="2:37" x14ac:dyDescent="0.3"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>
        <v>0</v>
      </c>
      <c r="AK446" s="23">
        <v>0</v>
      </c>
    </row>
    <row r="447" spans="2:37" x14ac:dyDescent="0.3"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>
        <v>0</v>
      </c>
      <c r="AK447" s="23">
        <v>0</v>
      </c>
    </row>
    <row r="448" spans="2:37" x14ac:dyDescent="0.3"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>
        <v>0</v>
      </c>
      <c r="AK448" s="23">
        <v>0</v>
      </c>
    </row>
    <row r="449" spans="2:37" x14ac:dyDescent="0.3"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>
        <v>0</v>
      </c>
      <c r="AK449" s="23">
        <v>0</v>
      </c>
    </row>
    <row r="450" spans="2:37" x14ac:dyDescent="0.3"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>
        <v>0</v>
      </c>
      <c r="AK450" s="23">
        <v>0</v>
      </c>
    </row>
    <row r="451" spans="2:37" x14ac:dyDescent="0.3"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>
        <v>0</v>
      </c>
      <c r="AK451" s="23">
        <v>0</v>
      </c>
    </row>
    <row r="452" spans="2:37" x14ac:dyDescent="0.3"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>
        <v>0</v>
      </c>
      <c r="AK452" s="23">
        <v>0</v>
      </c>
    </row>
    <row r="453" spans="2:37" x14ac:dyDescent="0.3"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>
        <v>0</v>
      </c>
      <c r="AK453" s="23">
        <v>0</v>
      </c>
    </row>
    <row r="454" spans="2:37" x14ac:dyDescent="0.3"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>
        <v>0</v>
      </c>
      <c r="AK454" s="23">
        <v>0</v>
      </c>
    </row>
    <row r="455" spans="2:37" x14ac:dyDescent="0.3"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>
        <v>0</v>
      </c>
      <c r="AK455" s="23">
        <v>0</v>
      </c>
    </row>
    <row r="456" spans="2:37" x14ac:dyDescent="0.3"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>
        <v>0</v>
      </c>
      <c r="AK456" s="23">
        <v>0</v>
      </c>
    </row>
    <row r="457" spans="2:37" x14ac:dyDescent="0.3"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>
        <v>0</v>
      </c>
      <c r="AK457" s="23">
        <v>0</v>
      </c>
    </row>
    <row r="458" spans="2:37" x14ac:dyDescent="0.3"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>
        <v>0</v>
      </c>
      <c r="AK458" s="23">
        <v>0</v>
      </c>
    </row>
    <row r="459" spans="2:37" x14ac:dyDescent="0.3"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>
        <v>0</v>
      </c>
      <c r="AK459" s="23">
        <v>0</v>
      </c>
    </row>
    <row r="460" spans="2:37" x14ac:dyDescent="0.3"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>
        <v>0</v>
      </c>
      <c r="AK460" s="23">
        <v>0</v>
      </c>
    </row>
    <row r="461" spans="2:37" x14ac:dyDescent="0.3"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>
        <v>0</v>
      </c>
      <c r="AK461" s="23">
        <v>0</v>
      </c>
    </row>
    <row r="462" spans="2:37" x14ac:dyDescent="0.3"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>
        <v>0</v>
      </c>
      <c r="AK462" s="23">
        <v>0</v>
      </c>
    </row>
    <row r="463" spans="2:37" x14ac:dyDescent="0.3"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>
        <v>0</v>
      </c>
      <c r="AK463" s="23">
        <v>0</v>
      </c>
    </row>
    <row r="464" spans="2:37" x14ac:dyDescent="0.3"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>
        <v>0</v>
      </c>
      <c r="AK464" s="23">
        <v>0</v>
      </c>
    </row>
    <row r="465" spans="2:37" x14ac:dyDescent="0.3"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>
        <v>0</v>
      </c>
      <c r="AK465" s="23">
        <v>0</v>
      </c>
    </row>
    <row r="466" spans="2:37" x14ac:dyDescent="0.3"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>
        <v>0</v>
      </c>
      <c r="AK466" s="23">
        <v>0</v>
      </c>
    </row>
    <row r="467" spans="2:37" x14ac:dyDescent="0.3"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>
        <v>0</v>
      </c>
      <c r="AK467" s="23">
        <v>0</v>
      </c>
    </row>
    <row r="468" spans="2:37" x14ac:dyDescent="0.3"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>
        <v>0</v>
      </c>
      <c r="AK468" s="23">
        <v>0</v>
      </c>
    </row>
    <row r="469" spans="2:37" x14ac:dyDescent="0.3"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>
        <v>0</v>
      </c>
      <c r="AK469" s="23">
        <v>0</v>
      </c>
    </row>
    <row r="470" spans="2:37" x14ac:dyDescent="0.3"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>
        <v>0</v>
      </c>
      <c r="AK470" s="23">
        <v>0</v>
      </c>
    </row>
    <row r="471" spans="2:37" x14ac:dyDescent="0.3"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>
        <v>0</v>
      </c>
      <c r="AK471" s="23">
        <v>0</v>
      </c>
    </row>
    <row r="472" spans="2:37" x14ac:dyDescent="0.3"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>
        <v>0</v>
      </c>
      <c r="AK472" s="23">
        <v>0</v>
      </c>
    </row>
    <row r="473" spans="2:37" x14ac:dyDescent="0.3"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>
        <v>0</v>
      </c>
      <c r="AK473" s="23">
        <v>0</v>
      </c>
    </row>
    <row r="474" spans="2:37" x14ac:dyDescent="0.3"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>
        <v>0</v>
      </c>
      <c r="AK474" s="23">
        <v>0</v>
      </c>
    </row>
    <row r="475" spans="2:37" x14ac:dyDescent="0.3"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>
        <v>0</v>
      </c>
      <c r="AK475" s="23">
        <v>0</v>
      </c>
    </row>
    <row r="476" spans="2:37" x14ac:dyDescent="0.3"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>
        <v>0</v>
      </c>
      <c r="AK476" s="23">
        <v>0</v>
      </c>
    </row>
    <row r="477" spans="2:37" x14ac:dyDescent="0.3"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>
        <v>0</v>
      </c>
      <c r="AK477" s="23">
        <v>0</v>
      </c>
    </row>
    <row r="478" spans="2:37" x14ac:dyDescent="0.3"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>
        <v>0</v>
      </c>
      <c r="AK478" s="23">
        <v>0</v>
      </c>
    </row>
    <row r="479" spans="2:37" x14ac:dyDescent="0.3"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>
        <v>0</v>
      </c>
      <c r="AK479" s="23">
        <v>0</v>
      </c>
    </row>
    <row r="480" spans="2:37" x14ac:dyDescent="0.3"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>
        <v>0</v>
      </c>
      <c r="AK480" s="23">
        <v>0</v>
      </c>
    </row>
    <row r="481" spans="2:37" x14ac:dyDescent="0.3"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>
        <v>0</v>
      </c>
      <c r="AK481" s="23">
        <v>0</v>
      </c>
    </row>
    <row r="482" spans="2:37" x14ac:dyDescent="0.3"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>
        <v>0</v>
      </c>
      <c r="AK482" s="23">
        <v>0</v>
      </c>
    </row>
    <row r="483" spans="2:37" x14ac:dyDescent="0.3"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>
        <v>0</v>
      </c>
      <c r="AK483" s="23">
        <v>0</v>
      </c>
    </row>
    <row r="484" spans="2:37" x14ac:dyDescent="0.3"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>
        <v>0</v>
      </c>
      <c r="AK484" s="23">
        <v>0</v>
      </c>
    </row>
    <row r="485" spans="2:37" x14ac:dyDescent="0.3"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>
        <v>0</v>
      </c>
      <c r="AK485" s="23">
        <v>0</v>
      </c>
    </row>
    <row r="486" spans="2:37" x14ac:dyDescent="0.3"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>
        <v>0</v>
      </c>
      <c r="AK486" s="23">
        <v>0</v>
      </c>
    </row>
    <row r="487" spans="2:37" x14ac:dyDescent="0.3"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>
        <v>0</v>
      </c>
      <c r="AK487" s="23">
        <v>0</v>
      </c>
    </row>
    <row r="488" spans="2:37" x14ac:dyDescent="0.3"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>
        <v>0</v>
      </c>
      <c r="AK488" s="23">
        <v>0</v>
      </c>
    </row>
    <row r="489" spans="2:37" x14ac:dyDescent="0.3"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>
        <v>0</v>
      </c>
      <c r="AK489" s="23">
        <v>0</v>
      </c>
    </row>
    <row r="490" spans="2:37" x14ac:dyDescent="0.3"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>
        <v>0</v>
      </c>
      <c r="AK490" s="23">
        <v>0</v>
      </c>
    </row>
    <row r="491" spans="2:37" x14ac:dyDescent="0.3"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>
        <v>0</v>
      </c>
      <c r="AK491" s="23">
        <v>0</v>
      </c>
    </row>
    <row r="492" spans="2:37" x14ac:dyDescent="0.3"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>
        <v>0</v>
      </c>
      <c r="AK492" s="23">
        <v>0</v>
      </c>
    </row>
    <row r="493" spans="2:37" x14ac:dyDescent="0.3"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>
        <v>0</v>
      </c>
      <c r="AK493" s="23">
        <v>0</v>
      </c>
    </row>
    <row r="494" spans="2:37" x14ac:dyDescent="0.3"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>
        <v>0</v>
      </c>
      <c r="AK494" s="23">
        <v>0</v>
      </c>
    </row>
    <row r="495" spans="2:37" x14ac:dyDescent="0.3"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>
        <v>0</v>
      </c>
      <c r="AK495" s="23">
        <v>0</v>
      </c>
    </row>
    <row r="496" spans="2:37" x14ac:dyDescent="0.3"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>
        <v>0</v>
      </c>
      <c r="AK496" s="23">
        <v>0</v>
      </c>
    </row>
    <row r="497" spans="2:37" x14ac:dyDescent="0.3"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>
        <v>0</v>
      </c>
      <c r="AK497" s="23">
        <v>0</v>
      </c>
    </row>
    <row r="498" spans="2:37" x14ac:dyDescent="0.3"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>
        <v>0</v>
      </c>
      <c r="AK498" s="23">
        <v>0</v>
      </c>
    </row>
    <row r="499" spans="2:37" x14ac:dyDescent="0.3"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>
        <v>0</v>
      </c>
      <c r="AK499" s="23">
        <v>0</v>
      </c>
    </row>
    <row r="500" spans="2:37" x14ac:dyDescent="0.3"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>
        <v>0</v>
      </c>
      <c r="AK500" s="23">
        <v>0</v>
      </c>
    </row>
    <row r="501" spans="2:37" x14ac:dyDescent="0.3"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>
        <v>0</v>
      </c>
      <c r="AK501" s="23">
        <v>0</v>
      </c>
    </row>
    <row r="502" spans="2:37" x14ac:dyDescent="0.3"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>
        <v>0</v>
      </c>
      <c r="AK502" s="23">
        <v>0</v>
      </c>
    </row>
    <row r="503" spans="2:37" x14ac:dyDescent="0.3"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>
        <v>0</v>
      </c>
      <c r="AK503" s="23">
        <v>0</v>
      </c>
    </row>
    <row r="504" spans="2:37" x14ac:dyDescent="0.3"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>
        <v>0</v>
      </c>
      <c r="AK504" s="23">
        <v>0</v>
      </c>
    </row>
    <row r="505" spans="2:37" x14ac:dyDescent="0.3"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>
        <v>0</v>
      </c>
      <c r="AK505" s="23">
        <v>0</v>
      </c>
    </row>
    <row r="506" spans="2:37" x14ac:dyDescent="0.3"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>
        <v>0</v>
      </c>
      <c r="AK506" s="23">
        <v>0</v>
      </c>
    </row>
    <row r="507" spans="2:37" x14ac:dyDescent="0.3"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>
        <v>0</v>
      </c>
      <c r="AK507" s="23">
        <v>0</v>
      </c>
    </row>
    <row r="508" spans="2:37" x14ac:dyDescent="0.3"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>
        <v>0</v>
      </c>
      <c r="AK508" s="23">
        <v>0</v>
      </c>
    </row>
    <row r="509" spans="2:37" x14ac:dyDescent="0.3"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>
        <v>0</v>
      </c>
      <c r="AK509" s="23">
        <v>0</v>
      </c>
    </row>
    <row r="510" spans="2:37" x14ac:dyDescent="0.3"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>
        <v>0</v>
      </c>
      <c r="AK510" s="23">
        <v>0</v>
      </c>
    </row>
    <row r="511" spans="2:37" x14ac:dyDescent="0.3"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>
        <v>0</v>
      </c>
      <c r="AK511" s="23">
        <v>0</v>
      </c>
    </row>
    <row r="512" spans="2:37" x14ac:dyDescent="0.3"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>
        <v>0</v>
      </c>
      <c r="AK512" s="23">
        <v>0</v>
      </c>
    </row>
    <row r="513" spans="2:37" x14ac:dyDescent="0.3"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>
        <v>0</v>
      </c>
      <c r="AK513" s="23">
        <v>0</v>
      </c>
    </row>
    <row r="514" spans="2:37" x14ac:dyDescent="0.3"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>
        <v>0</v>
      </c>
      <c r="AK514" s="23">
        <v>0</v>
      </c>
    </row>
    <row r="515" spans="2:37" x14ac:dyDescent="0.3"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>
        <v>0</v>
      </c>
      <c r="AK515" s="23">
        <v>0</v>
      </c>
    </row>
    <row r="516" spans="2:37" x14ac:dyDescent="0.3"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>
        <v>0</v>
      </c>
      <c r="AK516" s="23">
        <v>0</v>
      </c>
    </row>
    <row r="517" spans="2:37" x14ac:dyDescent="0.3"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>
        <v>0</v>
      </c>
      <c r="AK517" s="23">
        <v>0</v>
      </c>
    </row>
    <row r="518" spans="2:37" x14ac:dyDescent="0.3"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>
        <v>0</v>
      </c>
      <c r="AK518" s="23">
        <v>0</v>
      </c>
    </row>
    <row r="519" spans="2:37" x14ac:dyDescent="0.3"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>
        <v>0</v>
      </c>
      <c r="AK519" s="23">
        <v>0</v>
      </c>
    </row>
    <row r="520" spans="2:37" x14ac:dyDescent="0.3"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>
        <v>0</v>
      </c>
      <c r="AK520" s="23">
        <v>0</v>
      </c>
    </row>
    <row r="521" spans="2:37" x14ac:dyDescent="0.3"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>
        <v>0</v>
      </c>
      <c r="AK521" s="23">
        <v>0</v>
      </c>
    </row>
    <row r="522" spans="2:37" x14ac:dyDescent="0.3"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>
        <v>0</v>
      </c>
      <c r="AK522" s="23">
        <v>0</v>
      </c>
    </row>
    <row r="523" spans="2:37" x14ac:dyDescent="0.3"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>
        <v>0</v>
      </c>
      <c r="AK523" s="23">
        <v>0</v>
      </c>
    </row>
    <row r="524" spans="2:37" x14ac:dyDescent="0.3"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>
        <v>0</v>
      </c>
      <c r="AK524" s="23">
        <v>0</v>
      </c>
    </row>
    <row r="525" spans="2:37" x14ac:dyDescent="0.3"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>
        <v>0</v>
      </c>
      <c r="AK525" s="23">
        <v>0</v>
      </c>
    </row>
    <row r="526" spans="2:37" x14ac:dyDescent="0.3"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>
        <v>0</v>
      </c>
      <c r="AK526" s="23">
        <v>0</v>
      </c>
    </row>
    <row r="527" spans="2:37" x14ac:dyDescent="0.3"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>
        <v>0</v>
      </c>
      <c r="AK527" s="23">
        <v>0</v>
      </c>
    </row>
    <row r="528" spans="2:37" x14ac:dyDescent="0.3"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>
        <v>0</v>
      </c>
      <c r="AK528" s="23">
        <v>0</v>
      </c>
    </row>
    <row r="529" spans="2:37" x14ac:dyDescent="0.3"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>
        <v>0</v>
      </c>
      <c r="AK529" s="23">
        <v>0</v>
      </c>
    </row>
    <row r="530" spans="2:37" x14ac:dyDescent="0.3"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>
        <v>0</v>
      </c>
      <c r="AK530" s="23">
        <v>0</v>
      </c>
    </row>
    <row r="531" spans="2:37" x14ac:dyDescent="0.3"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>
        <v>0</v>
      </c>
      <c r="AK531" s="23">
        <v>0</v>
      </c>
    </row>
    <row r="532" spans="2:37" x14ac:dyDescent="0.3"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>
        <v>0</v>
      </c>
      <c r="AK532" s="23">
        <v>0</v>
      </c>
    </row>
    <row r="533" spans="2:37" x14ac:dyDescent="0.3"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>
        <v>0</v>
      </c>
      <c r="AK533" s="23">
        <v>0</v>
      </c>
    </row>
    <row r="534" spans="2:37" x14ac:dyDescent="0.3"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>
        <v>0</v>
      </c>
      <c r="AK534" s="23">
        <v>0</v>
      </c>
    </row>
    <row r="535" spans="2:37" x14ac:dyDescent="0.3"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>
        <v>0</v>
      </c>
      <c r="AK535" s="23">
        <v>0</v>
      </c>
    </row>
    <row r="536" spans="2:37" x14ac:dyDescent="0.3"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>
        <v>0</v>
      </c>
      <c r="AK536" s="23">
        <v>0</v>
      </c>
    </row>
    <row r="537" spans="2:37" x14ac:dyDescent="0.3"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>
        <v>0</v>
      </c>
      <c r="AK537" s="23">
        <v>0</v>
      </c>
    </row>
    <row r="538" spans="2:37" x14ac:dyDescent="0.3"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>
        <v>0</v>
      </c>
      <c r="AK538" s="23">
        <v>0</v>
      </c>
    </row>
    <row r="539" spans="2:37" x14ac:dyDescent="0.3"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>
        <v>0</v>
      </c>
      <c r="AK539" s="23">
        <v>0</v>
      </c>
    </row>
    <row r="540" spans="2:37" x14ac:dyDescent="0.3"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>
        <v>0</v>
      </c>
      <c r="AK540" s="23">
        <v>0</v>
      </c>
    </row>
    <row r="541" spans="2:37" x14ac:dyDescent="0.3"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>
        <v>0</v>
      </c>
      <c r="AK541" s="23">
        <v>0</v>
      </c>
    </row>
    <row r="542" spans="2:37" x14ac:dyDescent="0.3"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>
        <v>0</v>
      </c>
      <c r="AK542" s="23">
        <v>0</v>
      </c>
    </row>
    <row r="543" spans="2:37" x14ac:dyDescent="0.3"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>
        <v>0</v>
      </c>
      <c r="AK543" s="23">
        <v>0</v>
      </c>
    </row>
    <row r="544" spans="2:37" x14ac:dyDescent="0.3"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>
        <v>0</v>
      </c>
      <c r="AK544" s="23">
        <v>0</v>
      </c>
    </row>
    <row r="545" spans="2:37" x14ac:dyDescent="0.3"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>
        <v>0</v>
      </c>
      <c r="AK545" s="23">
        <v>0</v>
      </c>
    </row>
    <row r="546" spans="2:37" x14ac:dyDescent="0.3"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>
        <v>0</v>
      </c>
      <c r="AK546" s="23">
        <v>0</v>
      </c>
    </row>
    <row r="547" spans="2:37" x14ac:dyDescent="0.3"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>
        <v>0</v>
      </c>
      <c r="AK547" s="23">
        <v>0</v>
      </c>
    </row>
    <row r="548" spans="2:37" x14ac:dyDescent="0.3"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>
        <v>0</v>
      </c>
      <c r="AK548" s="23">
        <v>0</v>
      </c>
    </row>
    <row r="549" spans="2:37" x14ac:dyDescent="0.3"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>
        <v>0</v>
      </c>
      <c r="AK549" s="23">
        <v>0</v>
      </c>
    </row>
    <row r="550" spans="2:37" x14ac:dyDescent="0.3"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>
        <v>0</v>
      </c>
      <c r="AK550" s="23">
        <v>0</v>
      </c>
    </row>
    <row r="551" spans="2:37" x14ac:dyDescent="0.3"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>
        <v>0</v>
      </c>
      <c r="AK551" s="23">
        <v>0</v>
      </c>
    </row>
    <row r="552" spans="2:37" x14ac:dyDescent="0.3"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>
        <v>0</v>
      </c>
      <c r="AK552" s="23">
        <v>0</v>
      </c>
    </row>
    <row r="553" spans="2:37" x14ac:dyDescent="0.3"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>
        <v>0</v>
      </c>
      <c r="AK553" s="23">
        <v>0</v>
      </c>
    </row>
    <row r="554" spans="2:37" x14ac:dyDescent="0.3"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>
        <v>0</v>
      </c>
      <c r="AK554" s="23">
        <v>0</v>
      </c>
    </row>
    <row r="555" spans="2:37" x14ac:dyDescent="0.3"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>
        <v>0</v>
      </c>
      <c r="AK555" s="23">
        <v>0</v>
      </c>
    </row>
    <row r="556" spans="2:37" x14ac:dyDescent="0.3"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>
        <v>0</v>
      </c>
      <c r="AK556" s="23">
        <v>0</v>
      </c>
    </row>
    <row r="557" spans="2:37" x14ac:dyDescent="0.3"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>
        <v>0</v>
      </c>
      <c r="AK557" s="23">
        <v>0</v>
      </c>
    </row>
    <row r="558" spans="2:37" x14ac:dyDescent="0.3"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>
        <v>0</v>
      </c>
      <c r="AK558" s="23">
        <v>0</v>
      </c>
    </row>
    <row r="559" spans="2:37" x14ac:dyDescent="0.3"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>
        <v>0</v>
      </c>
      <c r="AK559" s="23">
        <v>0</v>
      </c>
    </row>
    <row r="560" spans="2:37" x14ac:dyDescent="0.3"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>
        <v>0</v>
      </c>
      <c r="AK560" s="23">
        <v>0</v>
      </c>
    </row>
    <row r="561" spans="2:37" x14ac:dyDescent="0.3"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>
        <v>0</v>
      </c>
      <c r="AK561" s="23">
        <v>0</v>
      </c>
    </row>
    <row r="562" spans="2:37" x14ac:dyDescent="0.3"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>
        <v>0</v>
      </c>
      <c r="AK562" s="23">
        <v>0</v>
      </c>
    </row>
    <row r="563" spans="2:37" x14ac:dyDescent="0.3"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>
        <v>0</v>
      </c>
      <c r="AK563" s="23">
        <v>0</v>
      </c>
    </row>
    <row r="564" spans="2:37" x14ac:dyDescent="0.3"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>
        <v>0</v>
      </c>
      <c r="AK564" s="23">
        <v>0</v>
      </c>
    </row>
    <row r="565" spans="2:37" x14ac:dyDescent="0.3"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>
        <v>0</v>
      </c>
      <c r="AK565" s="23">
        <v>0</v>
      </c>
    </row>
    <row r="566" spans="2:37" x14ac:dyDescent="0.3"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>
        <v>0</v>
      </c>
      <c r="AK566" s="23">
        <v>0</v>
      </c>
    </row>
    <row r="567" spans="2:37" x14ac:dyDescent="0.3"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>
        <v>0</v>
      </c>
      <c r="AK567" s="23">
        <v>0</v>
      </c>
    </row>
    <row r="568" spans="2:37" x14ac:dyDescent="0.3"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>
        <v>0</v>
      </c>
      <c r="AK568" s="23">
        <v>0</v>
      </c>
    </row>
    <row r="569" spans="2:37" x14ac:dyDescent="0.3"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>
        <v>0</v>
      </c>
      <c r="AK569" s="23">
        <v>0</v>
      </c>
    </row>
    <row r="570" spans="2:37" x14ac:dyDescent="0.3"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>
        <v>0</v>
      </c>
      <c r="AK570" s="23">
        <v>0</v>
      </c>
    </row>
    <row r="571" spans="2:37" x14ac:dyDescent="0.3"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>
        <v>0</v>
      </c>
      <c r="AK571" s="23">
        <v>0</v>
      </c>
    </row>
    <row r="572" spans="2:37" x14ac:dyDescent="0.3"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>
        <v>0</v>
      </c>
      <c r="AK572" s="23">
        <v>0</v>
      </c>
    </row>
    <row r="573" spans="2:37" x14ac:dyDescent="0.3"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>
        <v>0</v>
      </c>
      <c r="AK573" s="23">
        <v>0</v>
      </c>
    </row>
    <row r="574" spans="2:37" x14ac:dyDescent="0.3"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>
        <v>0</v>
      </c>
      <c r="AK574" s="23">
        <v>0</v>
      </c>
    </row>
    <row r="575" spans="2:37" x14ac:dyDescent="0.3"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>
        <v>0</v>
      </c>
      <c r="AK575" s="23">
        <v>0</v>
      </c>
    </row>
    <row r="576" spans="2:37" x14ac:dyDescent="0.3"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>
        <v>0</v>
      </c>
      <c r="AK576" s="23">
        <v>0</v>
      </c>
    </row>
    <row r="577" spans="2:37" x14ac:dyDescent="0.3"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>
        <v>0</v>
      </c>
      <c r="AK577" s="23">
        <v>0</v>
      </c>
    </row>
    <row r="578" spans="2:37" x14ac:dyDescent="0.3"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>
        <v>0</v>
      </c>
      <c r="AK578" s="23">
        <v>0</v>
      </c>
    </row>
    <row r="579" spans="2:37" x14ac:dyDescent="0.3"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>
        <v>0</v>
      </c>
      <c r="AK579" s="23">
        <v>0</v>
      </c>
    </row>
    <row r="580" spans="2:37" x14ac:dyDescent="0.3"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>
        <v>0</v>
      </c>
      <c r="AK580" s="23">
        <v>0</v>
      </c>
    </row>
    <row r="581" spans="2:37" x14ac:dyDescent="0.3"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>
        <v>0</v>
      </c>
      <c r="AK581" s="23">
        <v>0</v>
      </c>
    </row>
    <row r="582" spans="2:37" x14ac:dyDescent="0.3"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>
        <v>0</v>
      </c>
      <c r="AK582" s="23">
        <v>0</v>
      </c>
    </row>
    <row r="583" spans="2:37" x14ac:dyDescent="0.3"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>
        <v>0</v>
      </c>
      <c r="AK583" s="23">
        <v>0</v>
      </c>
    </row>
    <row r="584" spans="2:37" x14ac:dyDescent="0.3"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>
        <v>0</v>
      </c>
      <c r="AK584" s="23">
        <v>0</v>
      </c>
    </row>
    <row r="585" spans="2:37" x14ac:dyDescent="0.3"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>
        <v>0</v>
      </c>
      <c r="AK585" s="23">
        <v>0</v>
      </c>
    </row>
    <row r="586" spans="2:37" x14ac:dyDescent="0.3"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>
        <v>0</v>
      </c>
      <c r="AK586" s="23">
        <v>0</v>
      </c>
    </row>
    <row r="587" spans="2:37" x14ac:dyDescent="0.3"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>
        <v>0</v>
      </c>
      <c r="AK587" s="23">
        <v>0</v>
      </c>
    </row>
    <row r="588" spans="2:37" x14ac:dyDescent="0.3"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>
        <v>0</v>
      </c>
      <c r="AK588" s="23">
        <v>0</v>
      </c>
    </row>
    <row r="589" spans="2:37" x14ac:dyDescent="0.3"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>
        <v>0</v>
      </c>
      <c r="AK589" s="23">
        <v>0</v>
      </c>
    </row>
    <row r="590" spans="2:37" x14ac:dyDescent="0.3"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>
        <v>0</v>
      </c>
      <c r="AK590" s="23">
        <v>0</v>
      </c>
    </row>
    <row r="591" spans="2:37" x14ac:dyDescent="0.3"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>
        <v>0</v>
      </c>
      <c r="AK591" s="23">
        <v>0</v>
      </c>
    </row>
    <row r="592" spans="2:37" x14ac:dyDescent="0.3"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>
        <v>0</v>
      </c>
      <c r="AK592" s="23">
        <v>0</v>
      </c>
    </row>
    <row r="593" spans="2:37" x14ac:dyDescent="0.3"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>
        <v>0</v>
      </c>
      <c r="AK593" s="23">
        <v>0</v>
      </c>
    </row>
    <row r="594" spans="2:37" x14ac:dyDescent="0.3"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>
        <v>0</v>
      </c>
      <c r="AK594" s="23">
        <v>0</v>
      </c>
    </row>
    <row r="595" spans="2:37" x14ac:dyDescent="0.3"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>
        <v>0</v>
      </c>
      <c r="AK595" s="23">
        <v>0</v>
      </c>
    </row>
    <row r="596" spans="2:37" x14ac:dyDescent="0.3"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>
        <v>0</v>
      </c>
      <c r="AK596" s="23">
        <v>0</v>
      </c>
    </row>
    <row r="597" spans="2:37" x14ac:dyDescent="0.3"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>
        <v>0</v>
      </c>
      <c r="AK597" s="23">
        <v>0</v>
      </c>
    </row>
    <row r="598" spans="2:37" x14ac:dyDescent="0.3"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>
        <v>0</v>
      </c>
      <c r="AK598" s="23">
        <v>0</v>
      </c>
    </row>
    <row r="599" spans="2:37" x14ac:dyDescent="0.3"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>
        <v>0</v>
      </c>
      <c r="AK599" s="23">
        <v>0</v>
      </c>
    </row>
    <row r="600" spans="2:37" x14ac:dyDescent="0.3"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>
        <v>0</v>
      </c>
      <c r="AK600" s="23">
        <v>0</v>
      </c>
    </row>
    <row r="601" spans="2:37" x14ac:dyDescent="0.3"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>
        <v>0</v>
      </c>
      <c r="AK601" s="23">
        <v>0</v>
      </c>
    </row>
    <row r="602" spans="2:37" x14ac:dyDescent="0.3"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>
        <v>0</v>
      </c>
      <c r="AK602" s="23">
        <v>0</v>
      </c>
    </row>
    <row r="603" spans="2:37" x14ac:dyDescent="0.3"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>
        <v>0</v>
      </c>
      <c r="AK603" s="23">
        <v>0</v>
      </c>
    </row>
    <row r="604" spans="2:37" x14ac:dyDescent="0.3"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>
        <v>0</v>
      </c>
      <c r="AK604" s="23">
        <v>0</v>
      </c>
    </row>
    <row r="605" spans="2:37" x14ac:dyDescent="0.3"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>
        <v>0</v>
      </c>
      <c r="AK605" s="23">
        <v>0</v>
      </c>
    </row>
    <row r="606" spans="2:37" x14ac:dyDescent="0.3"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>
        <v>0</v>
      </c>
      <c r="AK606" s="23">
        <v>0</v>
      </c>
    </row>
    <row r="607" spans="2:37" x14ac:dyDescent="0.3"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>
        <v>0</v>
      </c>
      <c r="AK607" s="23">
        <v>0</v>
      </c>
    </row>
    <row r="608" spans="2:37" x14ac:dyDescent="0.3"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>
        <v>0</v>
      </c>
      <c r="AK608" s="23">
        <v>0</v>
      </c>
    </row>
    <row r="609" spans="2:37" x14ac:dyDescent="0.3"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>
        <v>0</v>
      </c>
      <c r="AK609" s="23">
        <v>0</v>
      </c>
    </row>
    <row r="610" spans="2:37" x14ac:dyDescent="0.3"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>
        <v>0</v>
      </c>
      <c r="AK610" s="23">
        <v>0</v>
      </c>
    </row>
    <row r="611" spans="2:37" x14ac:dyDescent="0.3"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>
        <v>0</v>
      </c>
      <c r="AK611" s="23">
        <v>0</v>
      </c>
    </row>
    <row r="612" spans="2:37" x14ac:dyDescent="0.3"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>
        <v>0</v>
      </c>
      <c r="AK612" s="23">
        <v>0</v>
      </c>
    </row>
    <row r="613" spans="2:37" x14ac:dyDescent="0.3"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>
        <v>0</v>
      </c>
      <c r="AK613" s="23">
        <v>0</v>
      </c>
    </row>
    <row r="614" spans="2:37" x14ac:dyDescent="0.3"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>
        <v>0</v>
      </c>
      <c r="AK614" s="23">
        <v>0</v>
      </c>
    </row>
    <row r="615" spans="2:37" x14ac:dyDescent="0.3"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>
        <v>0</v>
      </c>
      <c r="AK615" s="23">
        <v>0</v>
      </c>
    </row>
    <row r="616" spans="2:37" x14ac:dyDescent="0.3"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>
        <v>0</v>
      </c>
      <c r="AK616" s="23">
        <v>0</v>
      </c>
    </row>
    <row r="617" spans="2:37" x14ac:dyDescent="0.3"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>
        <v>0</v>
      </c>
      <c r="AK617" s="23">
        <v>0</v>
      </c>
    </row>
    <row r="618" spans="2:37" x14ac:dyDescent="0.3"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>
        <v>0</v>
      </c>
      <c r="AK618" s="23">
        <v>0</v>
      </c>
    </row>
    <row r="619" spans="2:37" x14ac:dyDescent="0.3"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>
        <v>0</v>
      </c>
      <c r="AK619" s="23">
        <v>0</v>
      </c>
    </row>
    <row r="620" spans="2:37" x14ac:dyDescent="0.3"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>
        <v>0</v>
      </c>
      <c r="AK620" s="23">
        <v>0</v>
      </c>
    </row>
    <row r="621" spans="2:37" x14ac:dyDescent="0.3"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>
        <v>0</v>
      </c>
      <c r="AK621" s="23">
        <v>0</v>
      </c>
    </row>
    <row r="622" spans="2:37" x14ac:dyDescent="0.3"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>
        <v>0</v>
      </c>
      <c r="AK622" s="23">
        <v>0</v>
      </c>
    </row>
    <row r="623" spans="2:37" x14ac:dyDescent="0.3"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>
        <v>0</v>
      </c>
      <c r="AK623" s="23">
        <v>0</v>
      </c>
    </row>
    <row r="624" spans="2:37" x14ac:dyDescent="0.3"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>
        <v>0</v>
      </c>
      <c r="AK624" s="23">
        <v>0</v>
      </c>
    </row>
    <row r="625" spans="2:37" x14ac:dyDescent="0.3"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>
        <v>0</v>
      </c>
      <c r="AK625" s="23">
        <v>0</v>
      </c>
    </row>
    <row r="626" spans="2:37" x14ac:dyDescent="0.3"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>
        <v>0</v>
      </c>
      <c r="AK626" s="23">
        <v>0</v>
      </c>
    </row>
    <row r="627" spans="2:37" x14ac:dyDescent="0.3"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>
        <v>0</v>
      </c>
      <c r="AK627" s="23">
        <v>0</v>
      </c>
    </row>
    <row r="628" spans="2:37" x14ac:dyDescent="0.3"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>
        <v>0</v>
      </c>
      <c r="AK628" s="23">
        <v>0</v>
      </c>
    </row>
    <row r="629" spans="2:37" x14ac:dyDescent="0.3"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>
        <v>0</v>
      </c>
      <c r="AK629" s="23">
        <v>0</v>
      </c>
    </row>
    <row r="630" spans="2:37" x14ac:dyDescent="0.3"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>
        <v>0</v>
      </c>
      <c r="AK630" s="23">
        <v>0</v>
      </c>
    </row>
    <row r="631" spans="2:37" x14ac:dyDescent="0.3"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>
        <v>0</v>
      </c>
      <c r="AK631" s="23">
        <v>0</v>
      </c>
    </row>
    <row r="632" spans="2:37" x14ac:dyDescent="0.3"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>
        <v>0</v>
      </c>
      <c r="AK632" s="23">
        <v>0</v>
      </c>
    </row>
    <row r="633" spans="2:37" x14ac:dyDescent="0.3"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>
        <v>0</v>
      </c>
      <c r="AK633" s="23">
        <v>0</v>
      </c>
    </row>
    <row r="634" spans="2:37" x14ac:dyDescent="0.3"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>
        <v>0</v>
      </c>
      <c r="AK634" s="23">
        <v>0</v>
      </c>
    </row>
    <row r="635" spans="2:37" x14ac:dyDescent="0.3"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>
        <v>0</v>
      </c>
      <c r="AK635" s="23">
        <v>0</v>
      </c>
    </row>
    <row r="636" spans="2:37" x14ac:dyDescent="0.3"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>
        <v>0</v>
      </c>
      <c r="AK636" s="23">
        <v>0</v>
      </c>
    </row>
    <row r="637" spans="2:37" x14ac:dyDescent="0.3"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>
        <v>0</v>
      </c>
      <c r="AK637" s="23">
        <v>0</v>
      </c>
    </row>
    <row r="638" spans="2:37" x14ac:dyDescent="0.3"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>
        <v>0</v>
      </c>
      <c r="AK638" s="23">
        <v>0</v>
      </c>
    </row>
    <row r="639" spans="2:37" x14ac:dyDescent="0.3"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>
        <v>0</v>
      </c>
      <c r="AK639" s="23">
        <v>0</v>
      </c>
    </row>
    <row r="640" spans="2:37" x14ac:dyDescent="0.3"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>
        <v>0</v>
      </c>
      <c r="AK640" s="23">
        <v>0</v>
      </c>
    </row>
    <row r="641" spans="2:37" x14ac:dyDescent="0.3"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>
        <v>0</v>
      </c>
      <c r="AK641" s="23">
        <v>0</v>
      </c>
    </row>
    <row r="642" spans="2:37" x14ac:dyDescent="0.3"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>
        <v>0</v>
      </c>
      <c r="AK642" s="23">
        <v>0</v>
      </c>
    </row>
    <row r="643" spans="2:37" x14ac:dyDescent="0.3"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>
        <v>0</v>
      </c>
      <c r="AK643" s="23">
        <v>0</v>
      </c>
    </row>
    <row r="644" spans="2:37" x14ac:dyDescent="0.3"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>
        <v>0</v>
      </c>
      <c r="AK644" s="23">
        <v>0</v>
      </c>
    </row>
    <row r="645" spans="2:37" x14ac:dyDescent="0.3"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>
        <v>0</v>
      </c>
      <c r="AK645" s="23">
        <v>0</v>
      </c>
    </row>
    <row r="646" spans="2:37" x14ac:dyDescent="0.3"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>
        <v>0</v>
      </c>
      <c r="AK646" s="23">
        <v>0</v>
      </c>
    </row>
    <row r="647" spans="2:37" x14ac:dyDescent="0.3"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>
        <v>0</v>
      </c>
      <c r="AK647" s="23">
        <v>0</v>
      </c>
    </row>
    <row r="648" spans="2:37" x14ac:dyDescent="0.3"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>
        <v>0</v>
      </c>
      <c r="AK648" s="23">
        <v>0</v>
      </c>
    </row>
    <row r="649" spans="2:37" x14ac:dyDescent="0.3"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>
        <v>0</v>
      </c>
      <c r="AK649" s="23">
        <v>0</v>
      </c>
    </row>
    <row r="650" spans="2:37" x14ac:dyDescent="0.3"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>
        <v>0</v>
      </c>
      <c r="AK650" s="23">
        <v>0</v>
      </c>
    </row>
    <row r="651" spans="2:37" x14ac:dyDescent="0.3"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>
        <v>0</v>
      </c>
      <c r="AK651" s="23">
        <v>0</v>
      </c>
    </row>
    <row r="652" spans="2:37" x14ac:dyDescent="0.3"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>
        <v>0</v>
      </c>
      <c r="AK652" s="23">
        <v>0</v>
      </c>
    </row>
    <row r="653" spans="2:37" x14ac:dyDescent="0.3"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>
        <v>0</v>
      </c>
      <c r="AK653" s="23">
        <v>0</v>
      </c>
    </row>
    <row r="654" spans="2:37" x14ac:dyDescent="0.3"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>
        <v>0</v>
      </c>
      <c r="AK654" s="23">
        <v>0</v>
      </c>
    </row>
    <row r="655" spans="2:37" x14ac:dyDescent="0.3"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>
        <v>0</v>
      </c>
      <c r="AK655" s="23">
        <v>0</v>
      </c>
    </row>
    <row r="656" spans="2:37" x14ac:dyDescent="0.3"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>
        <v>0</v>
      </c>
      <c r="AK656" s="23">
        <v>0</v>
      </c>
    </row>
    <row r="657" spans="2:37" x14ac:dyDescent="0.3"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>
        <v>0</v>
      </c>
      <c r="AK657" s="23">
        <v>0</v>
      </c>
    </row>
    <row r="658" spans="2:37" x14ac:dyDescent="0.3"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>
        <v>0</v>
      </c>
      <c r="AK658" s="23">
        <v>0</v>
      </c>
    </row>
    <row r="659" spans="2:37" x14ac:dyDescent="0.3"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>
        <v>0</v>
      </c>
      <c r="AK659" s="23">
        <v>0</v>
      </c>
    </row>
    <row r="660" spans="2:37" x14ac:dyDescent="0.3"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>
        <v>0</v>
      </c>
      <c r="AK660" s="23">
        <v>0</v>
      </c>
    </row>
    <row r="661" spans="2:37" x14ac:dyDescent="0.3"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>
        <v>0</v>
      </c>
      <c r="AK661" s="23">
        <v>0</v>
      </c>
    </row>
    <row r="662" spans="2:37" x14ac:dyDescent="0.3"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>
        <v>0</v>
      </c>
      <c r="AK662" s="23">
        <v>0</v>
      </c>
    </row>
    <row r="663" spans="2:37" x14ac:dyDescent="0.3"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>
        <v>0</v>
      </c>
      <c r="AK663" s="23">
        <v>0</v>
      </c>
    </row>
    <row r="664" spans="2:37" x14ac:dyDescent="0.3"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>
        <v>0</v>
      </c>
      <c r="AK664" s="23">
        <v>0</v>
      </c>
    </row>
    <row r="665" spans="2:37" x14ac:dyDescent="0.3"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>
        <v>0</v>
      </c>
      <c r="AK665" s="23">
        <v>0</v>
      </c>
    </row>
    <row r="666" spans="2:37" x14ac:dyDescent="0.3"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>
        <v>0</v>
      </c>
      <c r="AK666" s="23">
        <v>0</v>
      </c>
    </row>
    <row r="667" spans="2:37" x14ac:dyDescent="0.3"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>
        <v>0</v>
      </c>
      <c r="AK667" s="23">
        <v>0</v>
      </c>
    </row>
    <row r="668" spans="2:37" x14ac:dyDescent="0.3"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>
        <v>0</v>
      </c>
      <c r="AK668" s="23">
        <v>0</v>
      </c>
    </row>
    <row r="669" spans="2:37" x14ac:dyDescent="0.3"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>
        <v>0</v>
      </c>
      <c r="AK669" s="23">
        <v>0</v>
      </c>
    </row>
    <row r="670" spans="2:37" x14ac:dyDescent="0.3"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>
        <v>0</v>
      </c>
      <c r="AK670" s="23">
        <v>0</v>
      </c>
    </row>
    <row r="671" spans="2:37" x14ac:dyDescent="0.3"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>
        <v>0</v>
      </c>
      <c r="AK671" s="23">
        <v>0</v>
      </c>
    </row>
    <row r="672" spans="2:37" x14ac:dyDescent="0.3"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>
        <v>0</v>
      </c>
      <c r="AK672" s="23">
        <v>0</v>
      </c>
    </row>
    <row r="673" spans="2:37" x14ac:dyDescent="0.3"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>
        <v>0</v>
      </c>
      <c r="AK673" s="23">
        <v>0</v>
      </c>
    </row>
    <row r="674" spans="2:37" x14ac:dyDescent="0.3"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>
        <v>0</v>
      </c>
      <c r="AK674" s="23">
        <v>0</v>
      </c>
    </row>
    <row r="675" spans="2:37" x14ac:dyDescent="0.3"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>
        <v>0</v>
      </c>
      <c r="AK675" s="23">
        <v>0</v>
      </c>
    </row>
    <row r="676" spans="2:37" x14ac:dyDescent="0.3"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>
        <v>0</v>
      </c>
      <c r="AK676" s="23">
        <v>0</v>
      </c>
    </row>
    <row r="677" spans="2:37" x14ac:dyDescent="0.3"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>
        <v>0</v>
      </c>
      <c r="AK677" s="23">
        <v>0</v>
      </c>
    </row>
    <row r="678" spans="2:37" x14ac:dyDescent="0.3"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>
        <v>0</v>
      </c>
      <c r="AK678" s="23">
        <v>0</v>
      </c>
    </row>
    <row r="679" spans="2:37" x14ac:dyDescent="0.3"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>
        <v>0</v>
      </c>
      <c r="AK679" s="23">
        <v>0</v>
      </c>
    </row>
    <row r="680" spans="2:37" x14ac:dyDescent="0.3"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>
        <v>0</v>
      </c>
      <c r="AK680" s="23">
        <v>0</v>
      </c>
    </row>
    <row r="681" spans="2:37" x14ac:dyDescent="0.3"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>
        <v>0</v>
      </c>
      <c r="AK681" s="23">
        <v>0</v>
      </c>
    </row>
    <row r="682" spans="2:37" x14ac:dyDescent="0.3"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>
        <v>0</v>
      </c>
      <c r="AK682" s="23">
        <v>0</v>
      </c>
    </row>
    <row r="683" spans="2:37" x14ac:dyDescent="0.3"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>
        <v>0</v>
      </c>
      <c r="AK683" s="23">
        <v>0</v>
      </c>
    </row>
    <row r="684" spans="2:37" x14ac:dyDescent="0.3"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>
        <v>0</v>
      </c>
      <c r="AK684" s="23">
        <v>0</v>
      </c>
    </row>
    <row r="685" spans="2:37" x14ac:dyDescent="0.3"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>
        <v>0</v>
      </c>
      <c r="AK685" s="23">
        <v>0</v>
      </c>
    </row>
    <row r="686" spans="2:37" x14ac:dyDescent="0.3"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>
        <v>0</v>
      </c>
      <c r="AK686" s="23">
        <v>0</v>
      </c>
    </row>
    <row r="687" spans="2:37" x14ac:dyDescent="0.3"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>
        <v>0</v>
      </c>
      <c r="AK687" s="23">
        <v>0</v>
      </c>
    </row>
    <row r="688" spans="2:37" x14ac:dyDescent="0.3"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>
        <v>0</v>
      </c>
      <c r="AK688" s="23">
        <v>0</v>
      </c>
    </row>
    <row r="689" spans="2:37" x14ac:dyDescent="0.3"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>
        <v>0</v>
      </c>
      <c r="AK689" s="23">
        <v>0</v>
      </c>
    </row>
    <row r="690" spans="2:37" x14ac:dyDescent="0.3"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>
        <v>0</v>
      </c>
      <c r="AK690" s="23">
        <v>0</v>
      </c>
    </row>
    <row r="691" spans="2:37" x14ac:dyDescent="0.3"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>
        <v>0</v>
      </c>
      <c r="AK691" s="23">
        <v>0</v>
      </c>
    </row>
    <row r="692" spans="2:37" x14ac:dyDescent="0.3"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>
        <v>0</v>
      </c>
      <c r="AK692" s="23">
        <v>0</v>
      </c>
    </row>
    <row r="693" spans="2:37" x14ac:dyDescent="0.3"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>
        <v>0</v>
      </c>
      <c r="AK693" s="23">
        <v>0</v>
      </c>
    </row>
    <row r="694" spans="2:37" x14ac:dyDescent="0.3"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>
        <v>0</v>
      </c>
      <c r="AK694" s="23">
        <v>0</v>
      </c>
    </row>
    <row r="695" spans="2:37" x14ac:dyDescent="0.3"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>
        <v>0</v>
      </c>
      <c r="AK695" s="23">
        <v>0</v>
      </c>
    </row>
    <row r="696" spans="2:37" x14ac:dyDescent="0.3"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>
        <v>0</v>
      </c>
      <c r="AK696" s="23">
        <v>0</v>
      </c>
    </row>
    <row r="697" spans="2:37" x14ac:dyDescent="0.3"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>
        <v>0</v>
      </c>
      <c r="AK697" s="23">
        <v>0</v>
      </c>
    </row>
    <row r="698" spans="2:37" x14ac:dyDescent="0.3"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>
        <v>0</v>
      </c>
      <c r="AK698" s="23">
        <v>0</v>
      </c>
    </row>
    <row r="699" spans="2:37" x14ac:dyDescent="0.3"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>
        <v>0</v>
      </c>
      <c r="AK699" s="23">
        <v>0</v>
      </c>
    </row>
    <row r="700" spans="2:37" x14ac:dyDescent="0.3"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>
        <v>0</v>
      </c>
      <c r="AK700" s="23">
        <v>0</v>
      </c>
    </row>
    <row r="701" spans="2:37" x14ac:dyDescent="0.3"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>
        <v>0</v>
      </c>
      <c r="AK701" s="23">
        <v>0</v>
      </c>
    </row>
    <row r="702" spans="2:37" x14ac:dyDescent="0.3"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>
        <v>0</v>
      </c>
      <c r="AK702" s="23">
        <v>0</v>
      </c>
    </row>
    <row r="703" spans="2:37" x14ac:dyDescent="0.3"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>
        <v>0</v>
      </c>
      <c r="AK703" s="23">
        <v>0</v>
      </c>
    </row>
    <row r="704" spans="2:37" x14ac:dyDescent="0.3"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>
        <v>0</v>
      </c>
      <c r="AK704" s="23">
        <v>0</v>
      </c>
    </row>
    <row r="705" spans="2:37" x14ac:dyDescent="0.3"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>
        <v>0</v>
      </c>
      <c r="AK705" s="23">
        <v>0</v>
      </c>
    </row>
    <row r="706" spans="2:37" x14ac:dyDescent="0.3"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>
        <v>0</v>
      </c>
      <c r="AK706" s="23">
        <v>0</v>
      </c>
    </row>
    <row r="707" spans="2:37" x14ac:dyDescent="0.3"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>
        <v>0</v>
      </c>
      <c r="AK707" s="23">
        <v>0</v>
      </c>
    </row>
    <row r="708" spans="2:37" x14ac:dyDescent="0.3"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>
        <v>0</v>
      </c>
      <c r="AK708" s="23">
        <v>0</v>
      </c>
    </row>
    <row r="709" spans="2:37" x14ac:dyDescent="0.3"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>
        <v>0</v>
      </c>
      <c r="AK709" s="23">
        <v>0</v>
      </c>
    </row>
    <row r="710" spans="2:37" x14ac:dyDescent="0.3"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>
        <v>0</v>
      </c>
      <c r="AK710" s="23">
        <v>0</v>
      </c>
    </row>
    <row r="711" spans="2:37" x14ac:dyDescent="0.3"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>
        <v>0</v>
      </c>
      <c r="AK711" s="23">
        <v>0</v>
      </c>
    </row>
    <row r="712" spans="2:37" x14ac:dyDescent="0.3"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>
        <v>0</v>
      </c>
      <c r="AK712" s="23">
        <v>0</v>
      </c>
    </row>
    <row r="713" spans="2:37" x14ac:dyDescent="0.3"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>
        <v>0</v>
      </c>
      <c r="AK713" s="23">
        <v>0</v>
      </c>
    </row>
    <row r="714" spans="2:37" x14ac:dyDescent="0.3"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>
        <v>0</v>
      </c>
      <c r="AK714" s="23">
        <v>0</v>
      </c>
    </row>
    <row r="715" spans="2:37" x14ac:dyDescent="0.3"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>
        <v>0</v>
      </c>
      <c r="AK715" s="23">
        <v>0</v>
      </c>
    </row>
    <row r="716" spans="2:37" x14ac:dyDescent="0.3"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>
        <v>0</v>
      </c>
      <c r="AK716" s="23">
        <v>0</v>
      </c>
    </row>
    <row r="717" spans="2:37" x14ac:dyDescent="0.3"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>
        <v>0</v>
      </c>
      <c r="AK717" s="23">
        <v>0</v>
      </c>
    </row>
    <row r="718" spans="2:37" x14ac:dyDescent="0.3"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>
        <v>0</v>
      </c>
      <c r="AK718" s="23">
        <v>0</v>
      </c>
    </row>
    <row r="719" spans="2:37" x14ac:dyDescent="0.3"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>
        <v>0</v>
      </c>
      <c r="AK719" s="23">
        <v>0</v>
      </c>
    </row>
    <row r="720" spans="2:37" x14ac:dyDescent="0.3"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>
        <v>0</v>
      </c>
      <c r="AK720" s="23">
        <v>0</v>
      </c>
    </row>
    <row r="721" spans="2:37" x14ac:dyDescent="0.3"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>
        <v>0</v>
      </c>
      <c r="AK721" s="23">
        <v>0</v>
      </c>
    </row>
    <row r="722" spans="2:37" x14ac:dyDescent="0.3"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>
        <v>0</v>
      </c>
      <c r="AK722" s="23">
        <v>0</v>
      </c>
    </row>
    <row r="723" spans="2:37" x14ac:dyDescent="0.3"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>
        <v>0</v>
      </c>
      <c r="AK723" s="23">
        <v>0</v>
      </c>
    </row>
    <row r="724" spans="2:37" x14ac:dyDescent="0.3"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>
        <v>0</v>
      </c>
      <c r="AK724" s="23">
        <v>0</v>
      </c>
    </row>
    <row r="725" spans="2:37" x14ac:dyDescent="0.3"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>
        <v>0</v>
      </c>
      <c r="AK725" s="23">
        <v>0</v>
      </c>
    </row>
    <row r="726" spans="2:37" x14ac:dyDescent="0.3"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>
        <v>0</v>
      </c>
      <c r="AK726" s="23">
        <v>0</v>
      </c>
    </row>
    <row r="727" spans="2:37" x14ac:dyDescent="0.3"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>
        <v>0</v>
      </c>
      <c r="AK727" s="23">
        <v>0</v>
      </c>
    </row>
    <row r="728" spans="2:37" x14ac:dyDescent="0.3"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>
        <v>0</v>
      </c>
      <c r="AK728" s="23">
        <v>0</v>
      </c>
    </row>
    <row r="729" spans="2:37" x14ac:dyDescent="0.3"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>
        <v>0</v>
      </c>
      <c r="AK729" s="23">
        <v>0</v>
      </c>
    </row>
    <row r="730" spans="2:37" x14ac:dyDescent="0.3"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>
        <v>0</v>
      </c>
      <c r="AK730" s="23">
        <v>0</v>
      </c>
    </row>
    <row r="731" spans="2:37" x14ac:dyDescent="0.3"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>
        <v>0</v>
      </c>
      <c r="AK731" s="23">
        <v>0</v>
      </c>
    </row>
    <row r="732" spans="2:37" x14ac:dyDescent="0.3"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>
        <v>0</v>
      </c>
      <c r="AK732" s="23">
        <v>0</v>
      </c>
    </row>
    <row r="733" spans="2:37" x14ac:dyDescent="0.3"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>
        <v>0</v>
      </c>
      <c r="AK733" s="23">
        <v>0</v>
      </c>
    </row>
    <row r="734" spans="2:37" x14ac:dyDescent="0.3"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>
        <v>0</v>
      </c>
      <c r="AK734" s="23">
        <v>0</v>
      </c>
    </row>
    <row r="735" spans="2:37" x14ac:dyDescent="0.3"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>
        <v>0</v>
      </c>
      <c r="AK735" s="23">
        <v>0</v>
      </c>
    </row>
    <row r="736" spans="2:37" x14ac:dyDescent="0.3"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>
        <v>0</v>
      </c>
      <c r="AK736" s="23">
        <v>0</v>
      </c>
    </row>
    <row r="737" spans="2:37" x14ac:dyDescent="0.3"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>
        <v>0</v>
      </c>
      <c r="AK737" s="23">
        <v>0</v>
      </c>
    </row>
    <row r="738" spans="2:37" x14ac:dyDescent="0.3"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>
        <v>0</v>
      </c>
      <c r="AK738" s="23">
        <v>0</v>
      </c>
    </row>
    <row r="739" spans="2:37" x14ac:dyDescent="0.3"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>
        <v>0</v>
      </c>
      <c r="AK739" s="23">
        <v>0</v>
      </c>
    </row>
    <row r="740" spans="2:37" x14ac:dyDescent="0.3"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>
        <v>0</v>
      </c>
      <c r="AK740" s="23">
        <v>0</v>
      </c>
    </row>
    <row r="741" spans="2:37" x14ac:dyDescent="0.3"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>
        <v>0</v>
      </c>
      <c r="AK741" s="23">
        <v>0</v>
      </c>
    </row>
    <row r="742" spans="2:37" x14ac:dyDescent="0.3"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>
        <v>0</v>
      </c>
      <c r="AK742" s="23">
        <v>0</v>
      </c>
    </row>
    <row r="743" spans="2:37" x14ac:dyDescent="0.3"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>
        <v>0</v>
      </c>
      <c r="AK743" s="23">
        <v>0</v>
      </c>
    </row>
    <row r="744" spans="2:37" x14ac:dyDescent="0.3"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>
        <v>0</v>
      </c>
      <c r="AK744" s="23">
        <v>0</v>
      </c>
    </row>
    <row r="745" spans="2:37" x14ac:dyDescent="0.3"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>
        <v>0</v>
      </c>
      <c r="AK745" s="23">
        <v>0</v>
      </c>
    </row>
    <row r="746" spans="2:37" x14ac:dyDescent="0.3"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>
        <v>0</v>
      </c>
      <c r="AK746" s="23">
        <v>0</v>
      </c>
    </row>
    <row r="747" spans="2:37" x14ac:dyDescent="0.3"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>
        <v>0</v>
      </c>
      <c r="AK747" s="23">
        <v>0</v>
      </c>
    </row>
    <row r="748" spans="2:37" x14ac:dyDescent="0.3"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>
        <v>0</v>
      </c>
      <c r="AK748" s="23">
        <v>0</v>
      </c>
    </row>
    <row r="749" spans="2:37" x14ac:dyDescent="0.3"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>
        <v>0</v>
      </c>
      <c r="AK749" s="23">
        <v>0</v>
      </c>
    </row>
    <row r="750" spans="2:37" x14ac:dyDescent="0.3"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>
        <v>0</v>
      </c>
      <c r="AK750" s="23">
        <v>0</v>
      </c>
    </row>
    <row r="751" spans="2:37" x14ac:dyDescent="0.3"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>
        <v>0</v>
      </c>
      <c r="AK751" s="23">
        <v>0</v>
      </c>
    </row>
    <row r="752" spans="2:37" x14ac:dyDescent="0.3"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>
        <v>0</v>
      </c>
      <c r="AK752" s="23">
        <v>0</v>
      </c>
    </row>
    <row r="753" spans="2:37" x14ac:dyDescent="0.3"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>
        <v>0</v>
      </c>
      <c r="AK753" s="23">
        <v>0</v>
      </c>
    </row>
    <row r="754" spans="2:37" x14ac:dyDescent="0.3"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>
        <v>0</v>
      </c>
      <c r="AK754" s="23">
        <v>0</v>
      </c>
    </row>
    <row r="755" spans="2:37" x14ac:dyDescent="0.3"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>
        <v>0</v>
      </c>
      <c r="AK755" s="23">
        <v>0</v>
      </c>
    </row>
    <row r="756" spans="2:37" x14ac:dyDescent="0.3"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>
        <v>0</v>
      </c>
      <c r="AK756" s="23">
        <v>0</v>
      </c>
    </row>
    <row r="757" spans="2:37" x14ac:dyDescent="0.3"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>
        <v>0</v>
      </c>
      <c r="AK757" s="23">
        <v>0</v>
      </c>
    </row>
    <row r="758" spans="2:37" x14ac:dyDescent="0.3"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>
        <v>0</v>
      </c>
      <c r="AK758" s="23">
        <v>0</v>
      </c>
    </row>
    <row r="759" spans="2:37" x14ac:dyDescent="0.3"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>
        <v>0</v>
      </c>
      <c r="AK759" s="23">
        <v>0</v>
      </c>
    </row>
    <row r="760" spans="2:37" x14ac:dyDescent="0.3"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>
        <v>0</v>
      </c>
      <c r="AK760" s="23">
        <v>0</v>
      </c>
    </row>
    <row r="761" spans="2:37" x14ac:dyDescent="0.3"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>
        <v>0</v>
      </c>
      <c r="AK761" s="23">
        <v>0</v>
      </c>
    </row>
    <row r="762" spans="2:37" x14ac:dyDescent="0.3"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>
        <v>0</v>
      </c>
      <c r="AK762" s="23">
        <v>0</v>
      </c>
    </row>
    <row r="763" spans="2:37" x14ac:dyDescent="0.3"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>
        <v>0</v>
      </c>
      <c r="AK763" s="23">
        <v>0</v>
      </c>
    </row>
    <row r="764" spans="2:37" x14ac:dyDescent="0.3"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>
        <v>0</v>
      </c>
      <c r="AK764" s="23">
        <v>0</v>
      </c>
    </row>
    <row r="765" spans="2:37" x14ac:dyDescent="0.3"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>
        <v>0</v>
      </c>
      <c r="AK765" s="23">
        <v>0</v>
      </c>
    </row>
    <row r="766" spans="2:37" x14ac:dyDescent="0.3"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>
        <v>0</v>
      </c>
      <c r="AK766" s="23">
        <v>0</v>
      </c>
    </row>
    <row r="767" spans="2:37" x14ac:dyDescent="0.3"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>
        <v>0</v>
      </c>
      <c r="AK767" s="23">
        <v>0</v>
      </c>
    </row>
    <row r="768" spans="2:37" x14ac:dyDescent="0.3"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>
        <v>0</v>
      </c>
      <c r="AK768" s="23">
        <v>0</v>
      </c>
    </row>
    <row r="769" spans="2:37" x14ac:dyDescent="0.3"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>
        <v>0</v>
      </c>
      <c r="AK769" s="23">
        <v>0</v>
      </c>
    </row>
    <row r="770" spans="2:37" x14ac:dyDescent="0.3"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>
        <v>0</v>
      </c>
      <c r="AK770" s="23">
        <v>0</v>
      </c>
    </row>
    <row r="771" spans="2:37" x14ac:dyDescent="0.3"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>
        <v>0</v>
      </c>
      <c r="AK771" s="23">
        <v>0</v>
      </c>
    </row>
    <row r="772" spans="2:37" x14ac:dyDescent="0.3"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>
        <v>0</v>
      </c>
      <c r="AK772" s="23">
        <v>0</v>
      </c>
    </row>
    <row r="773" spans="2:37" x14ac:dyDescent="0.3"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>
        <v>0</v>
      </c>
      <c r="AK773" s="23">
        <v>0</v>
      </c>
    </row>
    <row r="774" spans="2:37" x14ac:dyDescent="0.3"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>
        <v>0</v>
      </c>
      <c r="AK774" s="23">
        <v>0</v>
      </c>
    </row>
    <row r="775" spans="2:37" x14ac:dyDescent="0.3"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>
        <v>0</v>
      </c>
      <c r="AK775" s="23">
        <v>0</v>
      </c>
    </row>
    <row r="776" spans="2:37" x14ac:dyDescent="0.3"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>
        <v>0</v>
      </c>
      <c r="AK776" s="23">
        <v>0</v>
      </c>
    </row>
    <row r="777" spans="2:37" x14ac:dyDescent="0.3"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>
        <v>0</v>
      </c>
      <c r="AK777" s="23">
        <v>0</v>
      </c>
    </row>
    <row r="778" spans="2:37" x14ac:dyDescent="0.3"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>
        <v>0</v>
      </c>
      <c r="AK778" s="23">
        <v>0</v>
      </c>
    </row>
    <row r="779" spans="2:37" x14ac:dyDescent="0.3"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>
        <v>0</v>
      </c>
      <c r="AK779" s="23">
        <v>0</v>
      </c>
    </row>
    <row r="780" spans="2:37" x14ac:dyDescent="0.3"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>
        <v>0</v>
      </c>
      <c r="AK780" s="23">
        <v>0</v>
      </c>
    </row>
    <row r="781" spans="2:37" x14ac:dyDescent="0.3"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>
        <v>0</v>
      </c>
      <c r="AK781" s="23">
        <v>0</v>
      </c>
    </row>
    <row r="782" spans="2:37" x14ac:dyDescent="0.3"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>
        <v>0</v>
      </c>
      <c r="AK782" s="23">
        <v>0</v>
      </c>
    </row>
    <row r="783" spans="2:37" x14ac:dyDescent="0.3"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>
        <v>0</v>
      </c>
      <c r="AK783" s="23">
        <v>0</v>
      </c>
    </row>
    <row r="784" spans="2:37" x14ac:dyDescent="0.3"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>
        <v>0</v>
      </c>
      <c r="AK784" s="23">
        <v>0</v>
      </c>
    </row>
    <row r="785" spans="2:37" x14ac:dyDescent="0.3"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>
        <v>0</v>
      </c>
      <c r="AK785" s="23">
        <v>0</v>
      </c>
    </row>
    <row r="786" spans="2:37" x14ac:dyDescent="0.3"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>
        <v>0</v>
      </c>
      <c r="AK786" s="23">
        <v>0</v>
      </c>
    </row>
    <row r="787" spans="2:37" x14ac:dyDescent="0.3"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>
        <v>0</v>
      </c>
      <c r="AK787" s="23">
        <v>0</v>
      </c>
    </row>
    <row r="788" spans="2:37" x14ac:dyDescent="0.3"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>
        <v>0</v>
      </c>
      <c r="AK788" s="23">
        <v>0</v>
      </c>
    </row>
    <row r="789" spans="2:37" x14ac:dyDescent="0.3"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>
        <v>0</v>
      </c>
      <c r="AK789" s="23">
        <v>0</v>
      </c>
    </row>
    <row r="790" spans="2:37" x14ac:dyDescent="0.3"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>
        <v>0</v>
      </c>
      <c r="AK790" s="23">
        <v>0</v>
      </c>
    </row>
    <row r="791" spans="2:37" x14ac:dyDescent="0.3"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>
        <v>0</v>
      </c>
      <c r="AK791" s="23">
        <v>0</v>
      </c>
    </row>
    <row r="792" spans="2:37" x14ac:dyDescent="0.3"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>
        <v>0</v>
      </c>
      <c r="AK792" s="23">
        <v>0</v>
      </c>
    </row>
    <row r="793" spans="2:37" x14ac:dyDescent="0.3"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>
        <v>0</v>
      </c>
      <c r="AK793" s="23">
        <v>0</v>
      </c>
    </row>
    <row r="794" spans="2:37" x14ac:dyDescent="0.3"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>
        <v>0</v>
      </c>
      <c r="AK794" s="23">
        <v>0</v>
      </c>
    </row>
    <row r="795" spans="2:37" x14ac:dyDescent="0.3"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>
        <v>0</v>
      </c>
      <c r="AK795" s="23">
        <v>0</v>
      </c>
    </row>
    <row r="796" spans="2:37" x14ac:dyDescent="0.3"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>
        <v>0</v>
      </c>
      <c r="AK796" s="23">
        <v>0</v>
      </c>
    </row>
    <row r="797" spans="2:37" x14ac:dyDescent="0.3"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>
        <v>0</v>
      </c>
      <c r="AK797" s="23">
        <v>0</v>
      </c>
    </row>
    <row r="798" spans="2:37" x14ac:dyDescent="0.3"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>
        <v>0</v>
      </c>
      <c r="AK798" s="23">
        <v>0</v>
      </c>
    </row>
    <row r="799" spans="2:37" x14ac:dyDescent="0.3"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>
        <v>0</v>
      </c>
      <c r="AK799" s="23">
        <v>0</v>
      </c>
    </row>
    <row r="800" spans="2:37" x14ac:dyDescent="0.3"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>
        <v>0</v>
      </c>
      <c r="AK800" s="23">
        <v>0</v>
      </c>
    </row>
    <row r="801" spans="2:37" x14ac:dyDescent="0.3"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>
        <v>0</v>
      </c>
      <c r="AK801" s="23">
        <v>0</v>
      </c>
    </row>
    <row r="802" spans="2:37" x14ac:dyDescent="0.3"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>
        <v>0</v>
      </c>
      <c r="AK802" s="23">
        <v>0</v>
      </c>
    </row>
    <row r="803" spans="2:37" x14ac:dyDescent="0.3"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>
        <v>0</v>
      </c>
      <c r="AK803" s="23">
        <v>0</v>
      </c>
    </row>
    <row r="804" spans="2:37" x14ac:dyDescent="0.3"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>
        <v>0</v>
      </c>
      <c r="AK804" s="23">
        <v>0</v>
      </c>
    </row>
    <row r="805" spans="2:37" x14ac:dyDescent="0.3"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>
        <v>0</v>
      </c>
      <c r="AK805" s="23">
        <v>0</v>
      </c>
    </row>
    <row r="806" spans="2:37" x14ac:dyDescent="0.3"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>
        <v>0</v>
      </c>
      <c r="AK806" s="23">
        <v>0</v>
      </c>
    </row>
    <row r="807" spans="2:37" x14ac:dyDescent="0.3"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>
        <v>0</v>
      </c>
      <c r="AK807" s="23">
        <v>0</v>
      </c>
    </row>
    <row r="808" spans="2:37" x14ac:dyDescent="0.3"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>
        <v>0</v>
      </c>
      <c r="AK808" s="23">
        <v>0</v>
      </c>
    </row>
    <row r="809" spans="2:37" x14ac:dyDescent="0.3"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>
        <v>0</v>
      </c>
      <c r="AK809" s="23">
        <v>0</v>
      </c>
    </row>
    <row r="810" spans="2:37" x14ac:dyDescent="0.3"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>
        <v>0</v>
      </c>
      <c r="AK810" s="23">
        <v>0</v>
      </c>
    </row>
    <row r="811" spans="2:37" x14ac:dyDescent="0.3"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>
        <v>0</v>
      </c>
      <c r="AK811" s="23">
        <v>0</v>
      </c>
    </row>
    <row r="812" spans="2:37" x14ac:dyDescent="0.3"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>
        <v>0</v>
      </c>
      <c r="AK812" s="23">
        <v>0</v>
      </c>
    </row>
    <row r="813" spans="2:37" x14ac:dyDescent="0.3"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>
        <v>0</v>
      </c>
      <c r="AK813" s="23">
        <v>0</v>
      </c>
    </row>
    <row r="814" spans="2:37" x14ac:dyDescent="0.3"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>
        <v>0</v>
      </c>
      <c r="AK814" s="23">
        <v>0</v>
      </c>
    </row>
    <row r="815" spans="2:37" x14ac:dyDescent="0.3"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>
        <v>0</v>
      </c>
      <c r="AK815" s="23">
        <v>0</v>
      </c>
    </row>
    <row r="816" spans="2:37" x14ac:dyDescent="0.3"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>
        <v>0</v>
      </c>
      <c r="AK816" s="23">
        <v>0</v>
      </c>
    </row>
    <row r="817" spans="2:37" x14ac:dyDescent="0.3"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>
        <v>0</v>
      </c>
      <c r="AK817" s="23">
        <v>0</v>
      </c>
    </row>
    <row r="818" spans="2:37" x14ac:dyDescent="0.3"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>
        <v>0</v>
      </c>
      <c r="AK818" s="23">
        <v>0</v>
      </c>
    </row>
    <row r="819" spans="2:37" x14ac:dyDescent="0.3"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>
        <v>0</v>
      </c>
      <c r="AK819" s="23">
        <v>0</v>
      </c>
    </row>
    <row r="820" spans="2:37" x14ac:dyDescent="0.3"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>
        <v>0</v>
      </c>
      <c r="AK820" s="23">
        <v>0</v>
      </c>
    </row>
    <row r="821" spans="2:37" x14ac:dyDescent="0.3"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>
        <v>0</v>
      </c>
      <c r="AK821" s="23">
        <v>0</v>
      </c>
    </row>
    <row r="822" spans="2:37" x14ac:dyDescent="0.3"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>
        <v>0</v>
      </c>
      <c r="AK822" s="23">
        <v>0</v>
      </c>
    </row>
    <row r="823" spans="2:37" x14ac:dyDescent="0.3"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>
        <v>0</v>
      </c>
      <c r="AK823" s="23">
        <v>0</v>
      </c>
    </row>
    <row r="824" spans="2:37" x14ac:dyDescent="0.3"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>
        <v>0</v>
      </c>
      <c r="AK824" s="23">
        <v>0</v>
      </c>
    </row>
    <row r="825" spans="2:37" x14ac:dyDescent="0.3"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>
        <v>0</v>
      </c>
      <c r="AK825" s="23">
        <v>0</v>
      </c>
    </row>
    <row r="826" spans="2:37" x14ac:dyDescent="0.3"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>
        <v>0</v>
      </c>
      <c r="AK826" s="23">
        <v>0</v>
      </c>
    </row>
    <row r="827" spans="2:37" x14ac:dyDescent="0.3"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>
        <v>0</v>
      </c>
      <c r="AK827" s="23">
        <v>0</v>
      </c>
    </row>
    <row r="828" spans="2:37" x14ac:dyDescent="0.3"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>
        <v>0</v>
      </c>
      <c r="AK828" s="23">
        <v>0</v>
      </c>
    </row>
    <row r="829" spans="2:37" x14ac:dyDescent="0.3"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>
        <v>0</v>
      </c>
      <c r="AK829" s="23">
        <v>0</v>
      </c>
    </row>
    <row r="830" spans="2:37" x14ac:dyDescent="0.3"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>
        <v>0</v>
      </c>
      <c r="AK830" s="23">
        <v>0</v>
      </c>
    </row>
    <row r="831" spans="2:37" x14ac:dyDescent="0.3"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>
        <v>0</v>
      </c>
      <c r="AK831" s="23">
        <v>0</v>
      </c>
    </row>
    <row r="832" spans="2:37" x14ac:dyDescent="0.3"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>
        <v>0</v>
      </c>
      <c r="AK832" s="23">
        <v>0</v>
      </c>
    </row>
    <row r="833" spans="2:37" x14ac:dyDescent="0.3"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>
        <v>0</v>
      </c>
      <c r="AK833" s="23">
        <v>0</v>
      </c>
    </row>
    <row r="834" spans="2:37" x14ac:dyDescent="0.3"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>
        <v>0</v>
      </c>
      <c r="AK834" s="23">
        <v>0</v>
      </c>
    </row>
    <row r="835" spans="2:37" x14ac:dyDescent="0.3"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>
        <v>0</v>
      </c>
      <c r="AK835" s="23">
        <v>0</v>
      </c>
    </row>
    <row r="836" spans="2:37" x14ac:dyDescent="0.3"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>
        <v>0</v>
      </c>
      <c r="AK836" s="23">
        <v>0</v>
      </c>
    </row>
    <row r="837" spans="2:37" x14ac:dyDescent="0.3"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>
        <v>0</v>
      </c>
      <c r="AK837" s="23">
        <v>0</v>
      </c>
    </row>
    <row r="838" spans="2:37" x14ac:dyDescent="0.3"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>
        <v>0</v>
      </c>
      <c r="AK838" s="23">
        <v>0</v>
      </c>
    </row>
    <row r="839" spans="2:37" x14ac:dyDescent="0.3"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>
        <v>0</v>
      </c>
      <c r="AK839" s="23">
        <v>0</v>
      </c>
    </row>
    <row r="840" spans="2:37" x14ac:dyDescent="0.3"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>
        <v>0</v>
      </c>
      <c r="AK840" s="23">
        <v>0</v>
      </c>
    </row>
    <row r="841" spans="2:37" x14ac:dyDescent="0.3"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>
        <v>0</v>
      </c>
      <c r="AK841" s="23">
        <v>0</v>
      </c>
    </row>
    <row r="842" spans="2:37" x14ac:dyDescent="0.3"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>
        <v>0</v>
      </c>
      <c r="AK842" s="23">
        <v>0</v>
      </c>
    </row>
    <row r="843" spans="2:37" x14ac:dyDescent="0.3"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>
        <v>0</v>
      </c>
      <c r="AK843" s="23">
        <v>0</v>
      </c>
    </row>
    <row r="844" spans="2:37" x14ac:dyDescent="0.3"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>
        <v>0</v>
      </c>
      <c r="AK844" s="23">
        <v>0</v>
      </c>
    </row>
    <row r="845" spans="2:37" x14ac:dyDescent="0.3"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>
        <v>0</v>
      </c>
      <c r="AK845" s="23">
        <v>0</v>
      </c>
    </row>
    <row r="846" spans="2:37" x14ac:dyDescent="0.3"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>
        <v>0</v>
      </c>
      <c r="AK846" s="23">
        <v>0</v>
      </c>
    </row>
    <row r="847" spans="2:37" x14ac:dyDescent="0.3"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>
        <v>0</v>
      </c>
      <c r="AK847" s="23">
        <v>0</v>
      </c>
    </row>
    <row r="848" spans="2:37" x14ac:dyDescent="0.3"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>
        <v>0</v>
      </c>
      <c r="AK848" s="23">
        <v>0</v>
      </c>
    </row>
    <row r="849" spans="2:37" x14ac:dyDescent="0.3"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>
        <v>0</v>
      </c>
      <c r="AK849" s="23">
        <v>0</v>
      </c>
    </row>
    <row r="850" spans="2:37" x14ac:dyDescent="0.3"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>
        <v>0</v>
      </c>
      <c r="AK850" s="23">
        <v>0</v>
      </c>
    </row>
    <row r="851" spans="2:37" x14ac:dyDescent="0.3"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>
        <v>0</v>
      </c>
      <c r="AK851" s="23">
        <v>0</v>
      </c>
    </row>
    <row r="852" spans="2:37" x14ac:dyDescent="0.3"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>
        <v>0</v>
      </c>
      <c r="AK852" s="23">
        <v>0</v>
      </c>
    </row>
    <row r="853" spans="2:37" x14ac:dyDescent="0.3"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>
        <v>0</v>
      </c>
      <c r="AK853" s="23">
        <v>0</v>
      </c>
    </row>
    <row r="854" spans="2:37" x14ac:dyDescent="0.3"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>
        <v>0</v>
      </c>
      <c r="AK854" s="23">
        <v>0</v>
      </c>
    </row>
    <row r="855" spans="2:37" x14ac:dyDescent="0.3"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>
        <v>0</v>
      </c>
      <c r="AK855" s="23">
        <v>0</v>
      </c>
    </row>
    <row r="856" spans="2:37" x14ac:dyDescent="0.3"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>
        <v>0</v>
      </c>
      <c r="AK856" s="23">
        <v>0</v>
      </c>
    </row>
    <row r="857" spans="2:37" x14ac:dyDescent="0.3"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>
        <v>0</v>
      </c>
      <c r="AK857" s="23">
        <v>0</v>
      </c>
    </row>
    <row r="858" spans="2:37" x14ac:dyDescent="0.3"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>
        <v>0</v>
      </c>
      <c r="AK858" s="23">
        <v>0</v>
      </c>
    </row>
    <row r="859" spans="2:37" x14ac:dyDescent="0.3"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>
        <v>0</v>
      </c>
      <c r="AK859" s="23">
        <v>0</v>
      </c>
    </row>
    <row r="860" spans="2:37" x14ac:dyDescent="0.3"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>
        <v>0</v>
      </c>
      <c r="AK860" s="23">
        <v>0</v>
      </c>
    </row>
    <row r="861" spans="2:37" x14ac:dyDescent="0.3"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>
        <v>0</v>
      </c>
      <c r="AK861" s="23">
        <v>0</v>
      </c>
    </row>
    <row r="862" spans="2:37" x14ac:dyDescent="0.3"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>
        <v>0</v>
      </c>
      <c r="AK862" s="23">
        <v>0</v>
      </c>
    </row>
    <row r="863" spans="2:37" x14ac:dyDescent="0.3"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>
        <v>0</v>
      </c>
      <c r="AK863" s="23">
        <v>0</v>
      </c>
    </row>
    <row r="864" spans="2:37" x14ac:dyDescent="0.3"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>
        <v>0</v>
      </c>
      <c r="AK864" s="23">
        <v>0</v>
      </c>
    </row>
    <row r="865" spans="2:37" x14ac:dyDescent="0.3"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>
        <v>0</v>
      </c>
      <c r="AK865" s="23">
        <v>0</v>
      </c>
    </row>
    <row r="866" spans="2:37" x14ac:dyDescent="0.3"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>
        <v>0</v>
      </c>
      <c r="AK866" s="23">
        <v>0</v>
      </c>
    </row>
    <row r="867" spans="2:37" x14ac:dyDescent="0.3"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>
        <v>0</v>
      </c>
      <c r="AK867" s="23">
        <v>0</v>
      </c>
    </row>
    <row r="868" spans="2:37" x14ac:dyDescent="0.3"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>
        <v>0</v>
      </c>
      <c r="AK868" s="23">
        <v>0</v>
      </c>
    </row>
    <row r="869" spans="2:37" x14ac:dyDescent="0.3"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>
        <v>0</v>
      </c>
      <c r="AK869" s="23">
        <v>0</v>
      </c>
    </row>
    <row r="870" spans="2:37" x14ac:dyDescent="0.3"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>
        <v>0</v>
      </c>
      <c r="AK870" s="23">
        <v>0</v>
      </c>
    </row>
    <row r="871" spans="2:37" x14ac:dyDescent="0.3"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>
        <v>0</v>
      </c>
      <c r="AK871" s="23">
        <v>0</v>
      </c>
    </row>
    <row r="872" spans="2:37" x14ac:dyDescent="0.3"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>
        <v>0</v>
      </c>
      <c r="AK872" s="23">
        <v>0</v>
      </c>
    </row>
    <row r="873" spans="2:37" x14ac:dyDescent="0.3"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>
        <v>0</v>
      </c>
      <c r="AK873" s="23">
        <v>0</v>
      </c>
    </row>
    <row r="874" spans="2:37" x14ac:dyDescent="0.3"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>
        <v>0</v>
      </c>
      <c r="AK874" s="23">
        <v>0</v>
      </c>
    </row>
    <row r="875" spans="2:37" x14ac:dyDescent="0.3"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>
        <v>0</v>
      </c>
      <c r="AK875" s="23">
        <v>0</v>
      </c>
    </row>
    <row r="876" spans="2:37" x14ac:dyDescent="0.3"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>
        <v>0</v>
      </c>
      <c r="AK876" s="23">
        <v>0</v>
      </c>
    </row>
    <row r="877" spans="2:37" x14ac:dyDescent="0.3"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>
        <v>0</v>
      </c>
      <c r="AK877" s="23">
        <v>0</v>
      </c>
    </row>
    <row r="878" spans="2:37" x14ac:dyDescent="0.3"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>
        <v>0</v>
      </c>
      <c r="AK878" s="23">
        <v>0</v>
      </c>
    </row>
    <row r="879" spans="2:37" x14ac:dyDescent="0.3"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>
        <v>0</v>
      </c>
      <c r="AK879" s="23">
        <v>0</v>
      </c>
    </row>
    <row r="880" spans="2:37" x14ac:dyDescent="0.3"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>
        <v>0</v>
      </c>
      <c r="AK880" s="23">
        <v>0</v>
      </c>
    </row>
    <row r="881" spans="2:37" x14ac:dyDescent="0.3"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>
        <v>0</v>
      </c>
      <c r="AK881" s="23">
        <v>0</v>
      </c>
    </row>
    <row r="882" spans="2:37" x14ac:dyDescent="0.3"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>
        <v>0</v>
      </c>
      <c r="AK882" s="23">
        <v>0</v>
      </c>
    </row>
    <row r="883" spans="2:37" x14ac:dyDescent="0.3"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>
        <v>0</v>
      </c>
      <c r="AK883" s="23">
        <v>0</v>
      </c>
    </row>
    <row r="884" spans="2:37" x14ac:dyDescent="0.3"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>
        <v>0</v>
      </c>
      <c r="AK884" s="23">
        <v>0</v>
      </c>
    </row>
    <row r="885" spans="2:37" x14ac:dyDescent="0.3"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>
        <v>0</v>
      </c>
      <c r="AK885" s="23">
        <v>0</v>
      </c>
    </row>
    <row r="886" spans="2:37" x14ac:dyDescent="0.3"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>
        <v>0</v>
      </c>
      <c r="AK886" s="23">
        <v>0</v>
      </c>
    </row>
    <row r="887" spans="2:37" x14ac:dyDescent="0.3"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>
        <v>0</v>
      </c>
      <c r="AK887" s="23">
        <v>0</v>
      </c>
    </row>
    <row r="888" spans="2:37" x14ac:dyDescent="0.3"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>
        <v>0</v>
      </c>
      <c r="AK888" s="23">
        <v>0</v>
      </c>
    </row>
    <row r="889" spans="2:37" x14ac:dyDescent="0.3"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>
        <v>0</v>
      </c>
      <c r="AK889" s="23">
        <v>0</v>
      </c>
    </row>
    <row r="890" spans="2:37" x14ac:dyDescent="0.3"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>
        <v>0</v>
      </c>
      <c r="AK890" s="23">
        <v>0</v>
      </c>
    </row>
    <row r="891" spans="2:37" x14ac:dyDescent="0.3"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>
        <v>0</v>
      </c>
      <c r="AK891" s="23">
        <v>0</v>
      </c>
    </row>
    <row r="892" spans="2:37" x14ac:dyDescent="0.3"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>
        <v>0</v>
      </c>
      <c r="AK892" s="23">
        <v>0</v>
      </c>
    </row>
    <row r="893" spans="2:37" x14ac:dyDescent="0.3"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>
        <v>0</v>
      </c>
      <c r="AK893" s="23">
        <v>0</v>
      </c>
    </row>
    <row r="894" spans="2:37" x14ac:dyDescent="0.3"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>
        <v>0</v>
      </c>
      <c r="AK894" s="23">
        <v>0</v>
      </c>
    </row>
    <row r="895" spans="2:37" x14ac:dyDescent="0.3"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>
        <v>0</v>
      </c>
      <c r="AK895" s="23">
        <v>0</v>
      </c>
    </row>
    <row r="896" spans="2:37" x14ac:dyDescent="0.3"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>
        <v>0</v>
      </c>
      <c r="AK896" s="23">
        <v>0</v>
      </c>
    </row>
    <row r="897" spans="2:37" x14ac:dyDescent="0.3"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>
        <v>0</v>
      </c>
      <c r="AK897" s="23">
        <v>0</v>
      </c>
    </row>
    <row r="898" spans="2:37" x14ac:dyDescent="0.3"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>
        <v>0</v>
      </c>
      <c r="AK898" s="23">
        <v>0</v>
      </c>
    </row>
    <row r="899" spans="2:37" x14ac:dyDescent="0.3"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>
        <v>0</v>
      </c>
      <c r="AK899" s="23">
        <v>0</v>
      </c>
    </row>
    <row r="900" spans="2:37" x14ac:dyDescent="0.3"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>
        <v>0</v>
      </c>
      <c r="AK900" s="23">
        <v>0</v>
      </c>
    </row>
    <row r="901" spans="2:37" x14ac:dyDescent="0.3"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>
        <v>0</v>
      </c>
      <c r="AK901" s="23">
        <v>0</v>
      </c>
    </row>
    <row r="902" spans="2:37" x14ac:dyDescent="0.3"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>
        <v>0</v>
      </c>
      <c r="AK902" s="23">
        <v>0</v>
      </c>
    </row>
    <row r="903" spans="2:37" x14ac:dyDescent="0.3"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>
        <v>0</v>
      </c>
      <c r="AK903" s="23">
        <v>0</v>
      </c>
    </row>
    <row r="904" spans="2:37" x14ac:dyDescent="0.3"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>
        <v>0</v>
      </c>
      <c r="AK904" s="23">
        <v>0</v>
      </c>
    </row>
    <row r="905" spans="2:37" x14ac:dyDescent="0.3"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>
        <v>0</v>
      </c>
      <c r="AK905" s="23">
        <v>0</v>
      </c>
    </row>
    <row r="906" spans="2:37" x14ac:dyDescent="0.3"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>
        <v>0</v>
      </c>
      <c r="AK906" s="23">
        <v>0</v>
      </c>
    </row>
    <row r="907" spans="2:37" x14ac:dyDescent="0.3"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>
        <v>0</v>
      </c>
      <c r="AK907" s="23">
        <v>0</v>
      </c>
    </row>
    <row r="908" spans="2:37" x14ac:dyDescent="0.3"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>
        <v>0</v>
      </c>
      <c r="AK908" s="23">
        <v>0</v>
      </c>
    </row>
    <row r="909" spans="2:37" x14ac:dyDescent="0.3"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>
        <v>0</v>
      </c>
      <c r="AK909" s="23">
        <v>0</v>
      </c>
    </row>
    <row r="910" spans="2:37" x14ac:dyDescent="0.3"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>
        <v>0</v>
      </c>
      <c r="AK910" s="23">
        <v>0</v>
      </c>
    </row>
    <row r="911" spans="2:37" x14ac:dyDescent="0.3"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>
        <v>0</v>
      </c>
      <c r="AK911" s="23">
        <v>0</v>
      </c>
    </row>
    <row r="912" spans="2:37" x14ac:dyDescent="0.3"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>
        <v>0</v>
      </c>
      <c r="AK912" s="23">
        <v>0</v>
      </c>
    </row>
    <row r="913" spans="2:37" x14ac:dyDescent="0.3"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>
        <v>0</v>
      </c>
      <c r="AK913" s="23">
        <v>0</v>
      </c>
    </row>
    <row r="914" spans="2:37" x14ac:dyDescent="0.3"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>
        <v>0</v>
      </c>
      <c r="AK914" s="23">
        <v>0</v>
      </c>
    </row>
    <row r="915" spans="2:37" x14ac:dyDescent="0.3"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>
        <v>0</v>
      </c>
      <c r="AK915" s="23">
        <v>0</v>
      </c>
    </row>
    <row r="916" spans="2:37" x14ac:dyDescent="0.3"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>
        <v>0</v>
      </c>
      <c r="AK916" s="23">
        <v>0</v>
      </c>
    </row>
    <row r="917" spans="2:37" x14ac:dyDescent="0.3"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>
        <v>0</v>
      </c>
      <c r="AK917" s="23">
        <v>0</v>
      </c>
    </row>
    <row r="918" spans="2:37" x14ac:dyDescent="0.3"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>
        <v>0</v>
      </c>
      <c r="AK918" s="23">
        <v>0</v>
      </c>
    </row>
    <row r="919" spans="2:37" x14ac:dyDescent="0.3"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>
        <v>0</v>
      </c>
      <c r="AK919" s="23">
        <v>0</v>
      </c>
    </row>
    <row r="920" spans="2:37" x14ac:dyDescent="0.3"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>
        <v>0</v>
      </c>
      <c r="AK920" s="23">
        <v>0</v>
      </c>
    </row>
    <row r="921" spans="2:37" x14ac:dyDescent="0.3"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>
        <v>0</v>
      </c>
      <c r="AK921" s="23">
        <v>0</v>
      </c>
    </row>
    <row r="922" spans="2:37" x14ac:dyDescent="0.3"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>
        <v>0</v>
      </c>
      <c r="AK922" s="23">
        <v>0</v>
      </c>
    </row>
    <row r="923" spans="2:37" x14ac:dyDescent="0.3"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>
        <v>0</v>
      </c>
      <c r="AK923" s="23">
        <v>0</v>
      </c>
    </row>
    <row r="924" spans="2:37" x14ac:dyDescent="0.3"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>
        <v>0</v>
      </c>
      <c r="AK924" s="23">
        <v>0</v>
      </c>
    </row>
    <row r="925" spans="2:37" x14ac:dyDescent="0.3"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>
        <v>0</v>
      </c>
      <c r="AK925" s="23">
        <v>0</v>
      </c>
    </row>
    <row r="926" spans="2:37" x14ac:dyDescent="0.3"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>
        <v>0</v>
      </c>
      <c r="AK926" s="23">
        <v>0</v>
      </c>
    </row>
    <row r="927" spans="2:37" x14ac:dyDescent="0.3"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>
        <v>0</v>
      </c>
      <c r="AK927" s="23">
        <v>0</v>
      </c>
    </row>
    <row r="928" spans="2:37" x14ac:dyDescent="0.3"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>
        <v>0</v>
      </c>
      <c r="AK928" s="23">
        <v>0</v>
      </c>
    </row>
    <row r="929" spans="2:37" x14ac:dyDescent="0.3"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>
        <v>0</v>
      </c>
      <c r="AK929" s="23">
        <v>0</v>
      </c>
    </row>
    <row r="930" spans="2:37" x14ac:dyDescent="0.3"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>
        <v>0</v>
      </c>
      <c r="AK930" s="23">
        <v>0</v>
      </c>
    </row>
    <row r="931" spans="2:37" x14ac:dyDescent="0.3"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>
        <v>0</v>
      </c>
      <c r="AK931" s="23">
        <v>0</v>
      </c>
    </row>
    <row r="932" spans="2:37" x14ac:dyDescent="0.3"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>
        <v>0</v>
      </c>
      <c r="AK932" s="23">
        <v>0</v>
      </c>
    </row>
    <row r="933" spans="2:37" x14ac:dyDescent="0.3"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>
        <v>0</v>
      </c>
      <c r="AK933" s="23">
        <v>0</v>
      </c>
    </row>
    <row r="934" spans="2:37" x14ac:dyDescent="0.3"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>
        <v>0</v>
      </c>
      <c r="AK934" s="23">
        <v>0</v>
      </c>
    </row>
    <row r="935" spans="2:37" x14ac:dyDescent="0.3"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>
        <v>0</v>
      </c>
      <c r="AK935" s="23">
        <v>0</v>
      </c>
    </row>
    <row r="936" spans="2:37" x14ac:dyDescent="0.3"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>
        <v>0</v>
      </c>
      <c r="AK936" s="23">
        <v>0</v>
      </c>
    </row>
    <row r="937" spans="2:37" x14ac:dyDescent="0.3"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>
        <v>0</v>
      </c>
      <c r="AK937" s="23">
        <v>0</v>
      </c>
    </row>
    <row r="938" spans="2:37" x14ac:dyDescent="0.3"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>
        <v>0</v>
      </c>
      <c r="AK938" s="23">
        <v>0</v>
      </c>
    </row>
    <row r="939" spans="2:37" x14ac:dyDescent="0.3"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>
        <v>0</v>
      </c>
      <c r="AK939" s="23">
        <v>0</v>
      </c>
    </row>
    <row r="940" spans="2:37" x14ac:dyDescent="0.3"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>
        <v>0</v>
      </c>
      <c r="AK940" s="23">
        <v>0</v>
      </c>
    </row>
    <row r="941" spans="2:37" x14ac:dyDescent="0.3"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>
        <v>0</v>
      </c>
      <c r="AK941" s="23">
        <v>0</v>
      </c>
    </row>
    <row r="942" spans="2:37" x14ac:dyDescent="0.3"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>
        <v>0</v>
      </c>
      <c r="AK942" s="23">
        <v>0</v>
      </c>
    </row>
    <row r="943" spans="2:37" x14ac:dyDescent="0.3"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>
        <v>0</v>
      </c>
      <c r="AK943" s="23">
        <v>0</v>
      </c>
    </row>
    <row r="944" spans="2:37" x14ac:dyDescent="0.3"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>
        <v>0</v>
      </c>
      <c r="AK944" s="23">
        <v>0</v>
      </c>
    </row>
    <row r="945" spans="2:37" x14ac:dyDescent="0.3"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>
        <v>0</v>
      </c>
      <c r="AK945" s="23">
        <v>0</v>
      </c>
    </row>
    <row r="946" spans="2:37" x14ac:dyDescent="0.3"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>
        <v>0</v>
      </c>
      <c r="AK946" s="23">
        <v>0</v>
      </c>
    </row>
    <row r="947" spans="2:37" x14ac:dyDescent="0.3"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>
        <v>0</v>
      </c>
      <c r="AK947" s="23">
        <v>0</v>
      </c>
    </row>
    <row r="948" spans="2:37" x14ac:dyDescent="0.3"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>
        <v>0</v>
      </c>
      <c r="AK948" s="23">
        <v>0</v>
      </c>
    </row>
    <row r="949" spans="2:37" x14ac:dyDescent="0.3"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>
        <v>0</v>
      </c>
      <c r="AK949" s="23">
        <v>0</v>
      </c>
    </row>
    <row r="950" spans="2:37" x14ac:dyDescent="0.3"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>
        <v>0</v>
      </c>
      <c r="AK950" s="23">
        <v>0</v>
      </c>
    </row>
    <row r="951" spans="2:37" x14ac:dyDescent="0.3"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>
        <v>0</v>
      </c>
      <c r="AK951" s="23">
        <v>0</v>
      </c>
    </row>
    <row r="952" spans="2:37" x14ac:dyDescent="0.3"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>
        <v>0</v>
      </c>
      <c r="AK952" s="23">
        <v>0</v>
      </c>
    </row>
    <row r="953" spans="2:37" x14ac:dyDescent="0.3"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>
        <v>0</v>
      </c>
      <c r="AK953" s="23">
        <v>0</v>
      </c>
    </row>
    <row r="954" spans="2:37" x14ac:dyDescent="0.3"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>
        <v>0</v>
      </c>
      <c r="AK954" s="23">
        <v>0</v>
      </c>
    </row>
    <row r="955" spans="2:37" x14ac:dyDescent="0.3"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>
        <v>0</v>
      </c>
      <c r="AK955" s="23">
        <v>0</v>
      </c>
    </row>
    <row r="956" spans="2:37" x14ac:dyDescent="0.3"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>
        <v>0</v>
      </c>
      <c r="AK956" s="23">
        <v>0</v>
      </c>
    </row>
    <row r="957" spans="2:37" x14ac:dyDescent="0.3"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>
        <v>0</v>
      </c>
      <c r="AK957" s="23">
        <v>0</v>
      </c>
    </row>
    <row r="958" spans="2:37" x14ac:dyDescent="0.3"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>
        <v>0</v>
      </c>
      <c r="AK958" s="23">
        <v>0</v>
      </c>
    </row>
    <row r="959" spans="2:37" x14ac:dyDescent="0.3"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>
        <v>0</v>
      </c>
      <c r="AK959" s="23">
        <v>0</v>
      </c>
    </row>
    <row r="960" spans="2:37" x14ac:dyDescent="0.3"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>
        <v>0</v>
      </c>
      <c r="AK960" s="23">
        <v>0</v>
      </c>
    </row>
    <row r="961" spans="2:37" x14ac:dyDescent="0.3"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>
        <v>0</v>
      </c>
      <c r="AK961" s="23">
        <v>0</v>
      </c>
    </row>
    <row r="962" spans="2:37" x14ac:dyDescent="0.3"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>
        <v>0</v>
      </c>
      <c r="AK962" s="23">
        <v>0</v>
      </c>
    </row>
    <row r="963" spans="2:37" x14ac:dyDescent="0.3"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>
        <v>0</v>
      </c>
      <c r="AK963" s="23">
        <v>0</v>
      </c>
    </row>
    <row r="964" spans="2:37" x14ac:dyDescent="0.3"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>
        <v>0</v>
      </c>
      <c r="AK964" s="23">
        <v>0</v>
      </c>
    </row>
    <row r="965" spans="2:37" x14ac:dyDescent="0.3"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>
        <v>0</v>
      </c>
      <c r="AK965" s="23">
        <v>0</v>
      </c>
    </row>
    <row r="966" spans="2:37" x14ac:dyDescent="0.3"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>
        <v>0</v>
      </c>
      <c r="AK966" s="23">
        <v>0</v>
      </c>
    </row>
    <row r="967" spans="2:37" x14ac:dyDescent="0.3"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>
        <v>0</v>
      </c>
      <c r="AK967" s="23">
        <v>0</v>
      </c>
    </row>
    <row r="968" spans="2:37" x14ac:dyDescent="0.3"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>
        <v>0</v>
      </c>
      <c r="AK968" s="23">
        <v>0</v>
      </c>
    </row>
    <row r="969" spans="2:37" x14ac:dyDescent="0.3"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>
        <v>0</v>
      </c>
      <c r="AK969" s="23">
        <v>0</v>
      </c>
    </row>
    <row r="970" spans="2:37" x14ac:dyDescent="0.3"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>
        <v>0</v>
      </c>
      <c r="AK970" s="23">
        <v>0</v>
      </c>
    </row>
    <row r="971" spans="2:37" x14ac:dyDescent="0.3"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>
        <v>0</v>
      </c>
      <c r="AK971" s="23">
        <v>0</v>
      </c>
    </row>
    <row r="972" spans="2:37" x14ac:dyDescent="0.3"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>
        <v>0</v>
      </c>
      <c r="AK972" s="23">
        <v>0</v>
      </c>
    </row>
    <row r="973" spans="2:37" x14ac:dyDescent="0.3"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>
        <v>0</v>
      </c>
      <c r="AK973" s="23">
        <v>0</v>
      </c>
    </row>
    <row r="974" spans="2:37" x14ac:dyDescent="0.3"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>
        <v>0</v>
      </c>
      <c r="AK974" s="23">
        <v>0</v>
      </c>
    </row>
    <row r="975" spans="2:37" x14ac:dyDescent="0.3"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>
        <v>0</v>
      </c>
      <c r="AK975" s="23">
        <v>0</v>
      </c>
    </row>
    <row r="976" spans="2:37" x14ac:dyDescent="0.3"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>
        <v>0</v>
      </c>
      <c r="AK976" s="23">
        <v>0</v>
      </c>
    </row>
    <row r="977" spans="2:37" x14ac:dyDescent="0.3"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>
        <v>0</v>
      </c>
      <c r="AK977" s="23">
        <v>0</v>
      </c>
    </row>
    <row r="978" spans="2:37" x14ac:dyDescent="0.3"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>
        <v>0</v>
      </c>
      <c r="AK978" s="23">
        <v>0</v>
      </c>
    </row>
    <row r="979" spans="2:37" x14ac:dyDescent="0.3"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>
        <v>0</v>
      </c>
      <c r="AK979" s="23">
        <v>0</v>
      </c>
    </row>
    <row r="980" spans="2:37" x14ac:dyDescent="0.3"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>
        <v>0</v>
      </c>
      <c r="AK980" s="23">
        <v>0</v>
      </c>
    </row>
    <row r="981" spans="2:37" x14ac:dyDescent="0.3"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>
        <v>0</v>
      </c>
      <c r="AK981" s="23">
        <v>0</v>
      </c>
    </row>
    <row r="982" spans="2:37" x14ac:dyDescent="0.3"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>
        <v>0</v>
      </c>
      <c r="AK982" s="23">
        <v>0</v>
      </c>
    </row>
    <row r="983" spans="2:37" x14ac:dyDescent="0.3"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>
        <v>0</v>
      </c>
      <c r="AK983" s="23">
        <v>0</v>
      </c>
    </row>
    <row r="984" spans="2:37" x14ac:dyDescent="0.3"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>
        <v>0</v>
      </c>
      <c r="AK984" s="23">
        <v>0</v>
      </c>
    </row>
    <row r="985" spans="2:37" x14ac:dyDescent="0.3"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>
        <v>0</v>
      </c>
      <c r="AK985" s="23">
        <v>0</v>
      </c>
    </row>
    <row r="986" spans="2:37" x14ac:dyDescent="0.3"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>
        <v>0</v>
      </c>
      <c r="AK986" s="23">
        <v>0</v>
      </c>
    </row>
    <row r="987" spans="2:37" x14ac:dyDescent="0.3"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>
        <v>0</v>
      </c>
      <c r="AK987" s="23">
        <v>0</v>
      </c>
    </row>
    <row r="988" spans="2:37" x14ac:dyDescent="0.3"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>
        <v>0</v>
      </c>
      <c r="AK988" s="23">
        <v>0</v>
      </c>
    </row>
    <row r="989" spans="2:37" x14ac:dyDescent="0.3"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>
        <v>0</v>
      </c>
      <c r="AK989" s="23">
        <v>0</v>
      </c>
    </row>
    <row r="990" spans="2:37" x14ac:dyDescent="0.3"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>
        <v>0</v>
      </c>
      <c r="AK990" s="23">
        <v>0</v>
      </c>
    </row>
    <row r="991" spans="2:37" x14ac:dyDescent="0.3"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>
        <v>0</v>
      </c>
      <c r="AK991" s="23">
        <v>0</v>
      </c>
    </row>
    <row r="992" spans="2:37" x14ac:dyDescent="0.3"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>
        <v>0</v>
      </c>
      <c r="AK992" s="23">
        <v>0</v>
      </c>
    </row>
    <row r="993" spans="2:37" x14ac:dyDescent="0.3"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>
        <v>0</v>
      </c>
      <c r="AK993" s="23">
        <v>0</v>
      </c>
    </row>
    <row r="994" spans="2:37" x14ac:dyDescent="0.3"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>
        <v>0</v>
      </c>
      <c r="AK994" s="23">
        <v>0</v>
      </c>
    </row>
    <row r="995" spans="2:37" x14ac:dyDescent="0.3"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>
        <v>0</v>
      </c>
      <c r="AK995" s="23">
        <v>0</v>
      </c>
    </row>
    <row r="996" spans="2:37" x14ac:dyDescent="0.3"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>
        <v>0</v>
      </c>
      <c r="AK996" s="23">
        <v>0</v>
      </c>
    </row>
    <row r="997" spans="2:37" x14ac:dyDescent="0.3"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>
        <v>0</v>
      </c>
      <c r="AK997" s="23">
        <v>0</v>
      </c>
    </row>
    <row r="998" spans="2:37" x14ac:dyDescent="0.3"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>
        <v>0</v>
      </c>
      <c r="AK998" s="23">
        <v>0</v>
      </c>
    </row>
    <row r="999" spans="2:37" x14ac:dyDescent="0.3"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>
        <v>0</v>
      </c>
      <c r="AK999" s="23">
        <v>0</v>
      </c>
    </row>
    <row r="1000" spans="2:37" x14ac:dyDescent="0.3"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  <c r="AC1000" s="23"/>
      <c r="AD1000" s="23"/>
      <c r="AE1000" s="23"/>
      <c r="AF1000" s="23"/>
      <c r="AG1000" s="23"/>
      <c r="AH1000" s="23"/>
      <c r="AI1000" s="23"/>
      <c r="AJ1000" s="23">
        <v>0</v>
      </c>
      <c r="AK1000" s="23">
        <v>0</v>
      </c>
    </row>
    <row r="1001" spans="2:37" x14ac:dyDescent="0.3"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  <c r="AA1001" s="23"/>
      <c r="AB1001" s="23"/>
      <c r="AC1001" s="23"/>
      <c r="AD1001" s="23"/>
      <c r="AE1001" s="23"/>
      <c r="AF1001" s="23"/>
      <c r="AG1001" s="23"/>
      <c r="AH1001" s="23"/>
      <c r="AI1001" s="23"/>
      <c r="AJ1001" s="23">
        <v>0</v>
      </c>
      <c r="AK1001" s="23">
        <v>0</v>
      </c>
    </row>
    <row r="1002" spans="2:37" x14ac:dyDescent="0.3"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  <c r="AA1002" s="23"/>
      <c r="AB1002" s="23"/>
      <c r="AC1002" s="23"/>
      <c r="AD1002" s="23"/>
      <c r="AE1002" s="23"/>
      <c r="AF1002" s="23"/>
      <c r="AG1002" s="23"/>
      <c r="AH1002" s="23"/>
      <c r="AI1002" s="23"/>
      <c r="AJ1002" s="23">
        <v>0</v>
      </c>
      <c r="AK1002" s="23">
        <v>0</v>
      </c>
    </row>
    <row r="1003" spans="2:37" x14ac:dyDescent="0.3"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  <c r="AA1003" s="23"/>
      <c r="AB1003" s="23"/>
      <c r="AC1003" s="23"/>
      <c r="AD1003" s="23"/>
      <c r="AE1003" s="23"/>
      <c r="AF1003" s="23"/>
      <c r="AG1003" s="23"/>
      <c r="AH1003" s="23"/>
      <c r="AI1003" s="23"/>
      <c r="AJ1003" s="23">
        <v>0</v>
      </c>
      <c r="AK1003" s="23">
        <v>0</v>
      </c>
    </row>
    <row r="1004" spans="2:37" x14ac:dyDescent="0.3"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  <c r="AA1004" s="23"/>
      <c r="AB1004" s="23"/>
      <c r="AC1004" s="23"/>
      <c r="AD1004" s="23"/>
      <c r="AE1004" s="23"/>
      <c r="AF1004" s="23"/>
      <c r="AG1004" s="23"/>
      <c r="AH1004" s="23"/>
      <c r="AI1004" s="23"/>
      <c r="AJ1004" s="23">
        <v>0</v>
      </c>
      <c r="AK1004" s="23">
        <v>0</v>
      </c>
    </row>
    <row r="1005" spans="2:37" x14ac:dyDescent="0.3"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  <c r="AA1005" s="23"/>
      <c r="AB1005" s="23"/>
      <c r="AC1005" s="23"/>
      <c r="AD1005" s="23"/>
      <c r="AE1005" s="23"/>
      <c r="AF1005" s="23"/>
      <c r="AG1005" s="23"/>
      <c r="AH1005" s="23"/>
      <c r="AI1005" s="23"/>
      <c r="AJ1005" s="23">
        <v>0</v>
      </c>
      <c r="AK1005" s="23">
        <v>0</v>
      </c>
    </row>
    <row r="1006" spans="2:37" x14ac:dyDescent="0.3"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  <c r="AA1006" s="23"/>
      <c r="AB1006" s="23"/>
      <c r="AC1006" s="23"/>
      <c r="AD1006" s="23"/>
      <c r="AE1006" s="23"/>
      <c r="AF1006" s="23"/>
      <c r="AG1006" s="23"/>
      <c r="AH1006" s="23"/>
      <c r="AI1006" s="23"/>
      <c r="AJ1006" s="23">
        <v>0</v>
      </c>
      <c r="AK1006" s="23">
        <v>0</v>
      </c>
    </row>
    <row r="1007" spans="2:37" x14ac:dyDescent="0.3"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  <c r="AA1007" s="23"/>
      <c r="AB1007" s="23"/>
      <c r="AC1007" s="23"/>
      <c r="AD1007" s="23"/>
      <c r="AE1007" s="23"/>
      <c r="AF1007" s="23"/>
      <c r="AG1007" s="23"/>
      <c r="AH1007" s="23"/>
      <c r="AI1007" s="23"/>
      <c r="AJ1007" s="23">
        <v>0</v>
      </c>
      <c r="AK1007" s="23">
        <v>0</v>
      </c>
    </row>
    <row r="1008" spans="2:37" x14ac:dyDescent="0.3"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  <c r="AA1008" s="23"/>
      <c r="AB1008" s="23"/>
      <c r="AC1008" s="23"/>
      <c r="AD1008" s="23"/>
      <c r="AE1008" s="23"/>
      <c r="AF1008" s="23"/>
      <c r="AG1008" s="23"/>
      <c r="AH1008" s="23"/>
      <c r="AI1008" s="23"/>
      <c r="AJ1008" s="23">
        <v>0</v>
      </c>
      <c r="AK1008" s="23">
        <v>0</v>
      </c>
    </row>
    <row r="1009" spans="2:37" x14ac:dyDescent="0.3"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  <c r="AA1009" s="23"/>
      <c r="AB1009" s="23"/>
      <c r="AC1009" s="23"/>
      <c r="AD1009" s="23"/>
      <c r="AE1009" s="23"/>
      <c r="AF1009" s="23"/>
      <c r="AG1009" s="23"/>
      <c r="AH1009" s="23"/>
      <c r="AI1009" s="23"/>
      <c r="AJ1009" s="23">
        <v>0</v>
      </c>
      <c r="AK1009" s="23">
        <v>0</v>
      </c>
    </row>
    <row r="1010" spans="2:37" x14ac:dyDescent="0.3"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  <c r="AA1010" s="23"/>
      <c r="AB1010" s="23"/>
      <c r="AC1010" s="23"/>
      <c r="AD1010" s="23"/>
      <c r="AE1010" s="23"/>
      <c r="AF1010" s="23"/>
      <c r="AG1010" s="23"/>
      <c r="AH1010" s="23"/>
      <c r="AI1010" s="23"/>
      <c r="AJ1010" s="23">
        <v>0</v>
      </c>
      <c r="AK1010" s="23">
        <v>0</v>
      </c>
    </row>
    <row r="1011" spans="2:37" x14ac:dyDescent="0.3"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  <c r="AA1011" s="23"/>
      <c r="AB1011" s="23"/>
      <c r="AC1011" s="23"/>
      <c r="AD1011" s="23"/>
      <c r="AE1011" s="23"/>
      <c r="AF1011" s="23"/>
      <c r="AG1011" s="23"/>
      <c r="AH1011" s="23"/>
      <c r="AI1011" s="23"/>
      <c r="AJ1011" s="23">
        <v>0</v>
      </c>
      <c r="AK1011" s="23">
        <v>0</v>
      </c>
    </row>
    <row r="1012" spans="2:37" x14ac:dyDescent="0.3"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  <c r="AA1012" s="23"/>
      <c r="AB1012" s="23"/>
      <c r="AC1012" s="23"/>
      <c r="AD1012" s="23"/>
      <c r="AE1012" s="23"/>
      <c r="AF1012" s="23"/>
      <c r="AG1012" s="23"/>
      <c r="AH1012" s="23"/>
      <c r="AI1012" s="23"/>
      <c r="AJ1012" s="23">
        <v>0</v>
      </c>
      <c r="AK1012" s="23">
        <v>0</v>
      </c>
    </row>
    <row r="1013" spans="2:37" x14ac:dyDescent="0.3"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  <c r="AA1013" s="23"/>
      <c r="AB1013" s="23"/>
      <c r="AC1013" s="23"/>
      <c r="AD1013" s="23"/>
      <c r="AE1013" s="23"/>
      <c r="AF1013" s="23"/>
      <c r="AG1013" s="23"/>
      <c r="AH1013" s="23"/>
      <c r="AI1013" s="23"/>
      <c r="AJ1013" s="23">
        <v>0</v>
      </c>
      <c r="AK1013" s="23">
        <v>0</v>
      </c>
    </row>
    <row r="1014" spans="2:37" x14ac:dyDescent="0.3"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  <c r="AA1014" s="23"/>
      <c r="AB1014" s="23"/>
      <c r="AC1014" s="23"/>
      <c r="AD1014" s="23"/>
      <c r="AE1014" s="23"/>
      <c r="AF1014" s="23"/>
      <c r="AG1014" s="23"/>
      <c r="AH1014" s="23"/>
      <c r="AI1014" s="23"/>
      <c r="AJ1014" s="23">
        <v>0</v>
      </c>
      <c r="AK1014" s="23">
        <v>0</v>
      </c>
    </row>
    <row r="1015" spans="2:37" x14ac:dyDescent="0.3"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  <c r="AA1015" s="23"/>
      <c r="AB1015" s="23"/>
      <c r="AC1015" s="23"/>
      <c r="AD1015" s="23"/>
      <c r="AE1015" s="23"/>
      <c r="AF1015" s="23"/>
      <c r="AG1015" s="23"/>
      <c r="AH1015" s="23"/>
      <c r="AI1015" s="23"/>
      <c r="AJ1015" s="23">
        <v>0</v>
      </c>
      <c r="AK1015" s="23">
        <v>0</v>
      </c>
    </row>
    <row r="1016" spans="2:37" x14ac:dyDescent="0.3"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  <c r="AA1016" s="23"/>
      <c r="AB1016" s="23"/>
      <c r="AC1016" s="23"/>
      <c r="AD1016" s="23"/>
      <c r="AE1016" s="23"/>
      <c r="AF1016" s="23"/>
      <c r="AG1016" s="23"/>
      <c r="AH1016" s="23"/>
      <c r="AI1016" s="23"/>
      <c r="AJ1016" s="23">
        <v>0</v>
      </c>
      <c r="AK1016" s="23">
        <v>0</v>
      </c>
    </row>
    <row r="1017" spans="2:37" x14ac:dyDescent="0.3"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  <c r="AA1017" s="23"/>
      <c r="AB1017" s="23"/>
      <c r="AC1017" s="23"/>
      <c r="AD1017" s="23"/>
      <c r="AE1017" s="23"/>
      <c r="AF1017" s="23"/>
      <c r="AG1017" s="23"/>
      <c r="AH1017" s="23"/>
      <c r="AI1017" s="23"/>
      <c r="AJ1017" s="23">
        <v>0</v>
      </c>
      <c r="AK1017" s="23">
        <v>0</v>
      </c>
    </row>
    <row r="1018" spans="2:37" x14ac:dyDescent="0.3"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  <c r="AA1018" s="23"/>
      <c r="AB1018" s="23"/>
      <c r="AC1018" s="23"/>
      <c r="AD1018" s="23"/>
      <c r="AE1018" s="23"/>
      <c r="AF1018" s="23"/>
      <c r="AG1018" s="23"/>
      <c r="AH1018" s="23"/>
      <c r="AI1018" s="23"/>
      <c r="AJ1018" s="23">
        <v>0</v>
      </c>
      <c r="AK1018" s="23">
        <v>0</v>
      </c>
    </row>
    <row r="1019" spans="2:37" x14ac:dyDescent="0.3"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  <c r="AA1019" s="23"/>
      <c r="AB1019" s="23"/>
      <c r="AC1019" s="23"/>
      <c r="AD1019" s="23"/>
      <c r="AE1019" s="23"/>
      <c r="AF1019" s="23"/>
      <c r="AG1019" s="23"/>
      <c r="AH1019" s="23"/>
      <c r="AI1019" s="23"/>
      <c r="AJ1019" s="23">
        <v>0</v>
      </c>
      <c r="AK1019" s="23">
        <v>0</v>
      </c>
    </row>
    <row r="1020" spans="2:37" x14ac:dyDescent="0.3"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  <c r="AA1020" s="23"/>
      <c r="AB1020" s="23"/>
      <c r="AC1020" s="23"/>
      <c r="AD1020" s="23"/>
      <c r="AE1020" s="23"/>
      <c r="AF1020" s="23"/>
      <c r="AG1020" s="23"/>
      <c r="AH1020" s="23"/>
      <c r="AI1020" s="23"/>
      <c r="AJ1020" s="23">
        <v>0</v>
      </c>
      <c r="AK1020" s="23">
        <v>0</v>
      </c>
    </row>
    <row r="1021" spans="2:37" x14ac:dyDescent="0.3"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  <c r="AA1021" s="23"/>
      <c r="AB1021" s="23"/>
      <c r="AC1021" s="23"/>
      <c r="AD1021" s="23"/>
      <c r="AE1021" s="23"/>
      <c r="AF1021" s="23"/>
      <c r="AG1021" s="23"/>
      <c r="AH1021" s="23"/>
      <c r="AI1021" s="23"/>
      <c r="AJ1021" s="23">
        <v>0</v>
      </c>
      <c r="AK1021" s="23">
        <v>0</v>
      </c>
    </row>
    <row r="1022" spans="2:37" x14ac:dyDescent="0.3"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  <c r="AA1022" s="23"/>
      <c r="AB1022" s="23"/>
      <c r="AC1022" s="23"/>
      <c r="AD1022" s="23"/>
      <c r="AE1022" s="23"/>
      <c r="AF1022" s="23"/>
      <c r="AG1022" s="23"/>
      <c r="AH1022" s="23"/>
      <c r="AI1022" s="23"/>
      <c r="AJ1022" s="23">
        <v>0</v>
      </c>
      <c r="AK1022" s="23">
        <v>0</v>
      </c>
    </row>
    <row r="1023" spans="2:37" x14ac:dyDescent="0.3"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  <c r="AA1023" s="23"/>
      <c r="AB1023" s="23"/>
      <c r="AC1023" s="23"/>
      <c r="AD1023" s="23"/>
      <c r="AE1023" s="23"/>
      <c r="AF1023" s="23"/>
      <c r="AG1023" s="23"/>
      <c r="AH1023" s="23"/>
      <c r="AI1023" s="23"/>
      <c r="AJ1023" s="23">
        <v>0</v>
      </c>
      <c r="AK1023" s="23">
        <v>0</v>
      </c>
    </row>
    <row r="1024" spans="2:37" x14ac:dyDescent="0.3"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  <c r="AA1024" s="23"/>
      <c r="AB1024" s="23"/>
      <c r="AC1024" s="23"/>
      <c r="AD1024" s="23"/>
      <c r="AE1024" s="23"/>
      <c r="AF1024" s="23"/>
      <c r="AG1024" s="23"/>
      <c r="AH1024" s="23"/>
      <c r="AI1024" s="23"/>
      <c r="AJ1024" s="23">
        <v>0</v>
      </c>
      <c r="AK1024" s="23">
        <v>0</v>
      </c>
    </row>
    <row r="1025" spans="2:37" x14ac:dyDescent="0.3"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  <c r="AA1025" s="23"/>
      <c r="AB1025" s="23"/>
      <c r="AC1025" s="23"/>
      <c r="AD1025" s="23"/>
      <c r="AE1025" s="23"/>
      <c r="AF1025" s="23"/>
      <c r="AG1025" s="23"/>
      <c r="AH1025" s="23"/>
      <c r="AI1025" s="23"/>
      <c r="AJ1025" s="23">
        <v>0</v>
      </c>
      <c r="AK1025" s="23">
        <v>0</v>
      </c>
    </row>
    <row r="1026" spans="2:37" x14ac:dyDescent="0.3"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  <c r="AA1026" s="23"/>
      <c r="AB1026" s="23"/>
      <c r="AC1026" s="23"/>
      <c r="AD1026" s="23"/>
      <c r="AE1026" s="23"/>
      <c r="AF1026" s="23"/>
      <c r="AG1026" s="23"/>
      <c r="AH1026" s="23"/>
      <c r="AI1026" s="23"/>
      <c r="AJ1026" s="23">
        <v>0</v>
      </c>
      <c r="AK1026" s="23">
        <v>0</v>
      </c>
    </row>
    <row r="1027" spans="2:37" x14ac:dyDescent="0.3"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  <c r="AA1027" s="23"/>
      <c r="AB1027" s="23"/>
      <c r="AC1027" s="23"/>
      <c r="AD1027" s="23"/>
      <c r="AE1027" s="23"/>
      <c r="AF1027" s="23"/>
      <c r="AG1027" s="23"/>
      <c r="AH1027" s="23"/>
      <c r="AI1027" s="23"/>
      <c r="AJ1027" s="23">
        <v>0</v>
      </c>
      <c r="AK1027" s="23">
        <v>0</v>
      </c>
    </row>
    <row r="1028" spans="2:37" x14ac:dyDescent="0.3"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  <c r="AA1028" s="23"/>
      <c r="AB1028" s="23"/>
      <c r="AC1028" s="23"/>
      <c r="AD1028" s="23"/>
      <c r="AE1028" s="23"/>
      <c r="AF1028" s="23"/>
      <c r="AG1028" s="23"/>
      <c r="AH1028" s="23"/>
      <c r="AI1028" s="23"/>
      <c r="AJ1028" s="23">
        <v>0</v>
      </c>
      <c r="AK1028" s="23">
        <v>0</v>
      </c>
    </row>
    <row r="1029" spans="2:37" x14ac:dyDescent="0.3"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  <c r="AA1029" s="23"/>
      <c r="AB1029" s="23"/>
      <c r="AC1029" s="23"/>
      <c r="AD1029" s="23"/>
      <c r="AE1029" s="23"/>
      <c r="AF1029" s="23"/>
      <c r="AG1029" s="23"/>
      <c r="AH1029" s="23"/>
      <c r="AI1029" s="23"/>
      <c r="AJ1029" s="23">
        <v>0</v>
      </c>
      <c r="AK1029" s="23">
        <v>0</v>
      </c>
    </row>
    <row r="1030" spans="2:37" x14ac:dyDescent="0.3"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  <c r="AA1030" s="23"/>
      <c r="AB1030" s="23"/>
      <c r="AC1030" s="23"/>
      <c r="AD1030" s="23"/>
      <c r="AE1030" s="23"/>
      <c r="AF1030" s="23"/>
      <c r="AG1030" s="23"/>
      <c r="AH1030" s="23"/>
      <c r="AI1030" s="23"/>
      <c r="AJ1030" s="23">
        <v>0</v>
      </c>
      <c r="AK1030" s="23">
        <v>0</v>
      </c>
    </row>
    <row r="1031" spans="2:37" x14ac:dyDescent="0.3"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  <c r="AA1031" s="23"/>
      <c r="AB1031" s="23"/>
      <c r="AC1031" s="23"/>
      <c r="AD1031" s="23"/>
      <c r="AE1031" s="23"/>
      <c r="AF1031" s="23"/>
      <c r="AG1031" s="23"/>
      <c r="AH1031" s="23"/>
      <c r="AI1031" s="23"/>
      <c r="AJ1031" s="23">
        <v>0</v>
      </c>
      <c r="AK1031" s="23">
        <v>0</v>
      </c>
    </row>
    <row r="1032" spans="2:37" x14ac:dyDescent="0.3"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  <c r="AA1032" s="23"/>
      <c r="AB1032" s="23"/>
      <c r="AC1032" s="23"/>
      <c r="AD1032" s="23"/>
      <c r="AE1032" s="23"/>
      <c r="AF1032" s="23"/>
      <c r="AG1032" s="23"/>
      <c r="AH1032" s="23"/>
      <c r="AI1032" s="23"/>
      <c r="AJ1032" s="23">
        <v>0</v>
      </c>
      <c r="AK1032" s="23">
        <v>0</v>
      </c>
    </row>
    <row r="1033" spans="2:37" x14ac:dyDescent="0.3"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  <c r="AA1033" s="23"/>
      <c r="AB1033" s="23"/>
      <c r="AC1033" s="23"/>
      <c r="AD1033" s="23"/>
      <c r="AE1033" s="23"/>
      <c r="AF1033" s="23"/>
      <c r="AG1033" s="23"/>
      <c r="AH1033" s="23"/>
      <c r="AI1033" s="23"/>
      <c r="AJ1033" s="23">
        <v>0</v>
      </c>
      <c r="AK1033" s="23">
        <v>0</v>
      </c>
    </row>
    <row r="1034" spans="2:37" x14ac:dyDescent="0.3"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  <c r="AA1034" s="23"/>
      <c r="AB1034" s="23"/>
      <c r="AC1034" s="23"/>
      <c r="AD1034" s="23"/>
      <c r="AE1034" s="23"/>
      <c r="AF1034" s="23"/>
      <c r="AG1034" s="23"/>
      <c r="AH1034" s="23"/>
      <c r="AI1034" s="23"/>
      <c r="AJ1034" s="23">
        <v>0</v>
      </c>
      <c r="AK1034" s="23">
        <v>0</v>
      </c>
    </row>
    <row r="1035" spans="2:37" x14ac:dyDescent="0.3"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  <c r="AA1035" s="23"/>
      <c r="AB1035" s="23"/>
      <c r="AC1035" s="23"/>
      <c r="AD1035" s="23"/>
      <c r="AE1035" s="23"/>
      <c r="AF1035" s="23"/>
      <c r="AG1035" s="23"/>
      <c r="AH1035" s="23"/>
      <c r="AI1035" s="23"/>
      <c r="AJ1035" s="23">
        <v>0</v>
      </c>
      <c r="AK1035" s="23">
        <v>0</v>
      </c>
    </row>
    <row r="1036" spans="2:37" x14ac:dyDescent="0.3"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  <c r="AA1036" s="23"/>
      <c r="AB1036" s="23"/>
      <c r="AC1036" s="23"/>
      <c r="AD1036" s="23"/>
      <c r="AE1036" s="23"/>
      <c r="AF1036" s="23"/>
      <c r="AG1036" s="23"/>
      <c r="AH1036" s="23"/>
      <c r="AI1036" s="23"/>
      <c r="AJ1036" s="23">
        <v>0</v>
      </c>
      <c r="AK1036" s="23">
        <v>0</v>
      </c>
    </row>
    <row r="1037" spans="2:37" x14ac:dyDescent="0.3"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  <c r="AA1037" s="23"/>
      <c r="AB1037" s="23"/>
      <c r="AC1037" s="23"/>
      <c r="AD1037" s="23"/>
      <c r="AE1037" s="23"/>
      <c r="AF1037" s="23"/>
      <c r="AG1037" s="23"/>
      <c r="AH1037" s="23"/>
      <c r="AI1037" s="23"/>
      <c r="AJ1037" s="23">
        <v>0</v>
      </c>
      <c r="AK1037" s="23">
        <v>0</v>
      </c>
    </row>
    <row r="1038" spans="2:37" x14ac:dyDescent="0.3"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  <c r="AA1038" s="23"/>
      <c r="AB1038" s="23"/>
      <c r="AC1038" s="23"/>
      <c r="AD1038" s="23"/>
      <c r="AE1038" s="23"/>
      <c r="AF1038" s="23"/>
      <c r="AG1038" s="23"/>
      <c r="AH1038" s="23"/>
      <c r="AI1038" s="23"/>
      <c r="AJ1038" s="23">
        <v>0</v>
      </c>
      <c r="AK1038" s="23">
        <v>0</v>
      </c>
    </row>
    <row r="1039" spans="2:37" x14ac:dyDescent="0.3"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  <c r="AA1039" s="23"/>
      <c r="AB1039" s="23"/>
      <c r="AC1039" s="23"/>
      <c r="AD1039" s="23"/>
      <c r="AE1039" s="23"/>
      <c r="AF1039" s="23"/>
      <c r="AG1039" s="23"/>
      <c r="AH1039" s="23"/>
      <c r="AI1039" s="23"/>
      <c r="AJ1039" s="23">
        <v>0</v>
      </c>
      <c r="AK1039" s="23">
        <v>0</v>
      </c>
    </row>
    <row r="1040" spans="2:37" x14ac:dyDescent="0.3"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  <c r="AA1040" s="23"/>
      <c r="AB1040" s="23"/>
      <c r="AC1040" s="23"/>
      <c r="AD1040" s="23"/>
      <c r="AE1040" s="23"/>
      <c r="AF1040" s="23"/>
      <c r="AG1040" s="23"/>
      <c r="AH1040" s="23"/>
      <c r="AI1040" s="23"/>
      <c r="AJ1040" s="23">
        <v>0</v>
      </c>
      <c r="AK1040" s="23">
        <v>0</v>
      </c>
    </row>
    <row r="1041" spans="2:37" x14ac:dyDescent="0.3"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  <c r="AA1041" s="23"/>
      <c r="AB1041" s="23"/>
      <c r="AC1041" s="23"/>
      <c r="AD1041" s="23"/>
      <c r="AE1041" s="23"/>
      <c r="AF1041" s="23"/>
      <c r="AG1041" s="23"/>
      <c r="AH1041" s="23"/>
      <c r="AI1041" s="23"/>
      <c r="AJ1041" s="23">
        <v>0</v>
      </c>
      <c r="AK1041" s="23">
        <v>0</v>
      </c>
    </row>
    <row r="1042" spans="2:37" x14ac:dyDescent="0.3"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  <c r="AA1042" s="23"/>
      <c r="AB1042" s="23"/>
      <c r="AC1042" s="23"/>
      <c r="AD1042" s="23"/>
      <c r="AE1042" s="23"/>
      <c r="AF1042" s="23"/>
      <c r="AG1042" s="23"/>
      <c r="AH1042" s="23"/>
      <c r="AI1042" s="23"/>
      <c r="AJ1042" s="23">
        <v>0</v>
      </c>
      <c r="AK1042" s="23">
        <v>0</v>
      </c>
    </row>
    <row r="1043" spans="2:37" x14ac:dyDescent="0.3"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  <c r="AA1043" s="23"/>
      <c r="AB1043" s="23"/>
      <c r="AC1043" s="23"/>
      <c r="AD1043" s="23"/>
      <c r="AE1043" s="23"/>
      <c r="AF1043" s="23"/>
      <c r="AG1043" s="23"/>
      <c r="AH1043" s="23"/>
      <c r="AI1043" s="23"/>
      <c r="AJ1043" s="23">
        <v>0</v>
      </c>
      <c r="AK1043" s="23">
        <v>0</v>
      </c>
    </row>
    <row r="1044" spans="2:37" x14ac:dyDescent="0.3"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  <c r="AA1044" s="23"/>
      <c r="AB1044" s="23"/>
      <c r="AC1044" s="23"/>
      <c r="AD1044" s="23"/>
      <c r="AE1044" s="23"/>
      <c r="AF1044" s="23"/>
      <c r="AG1044" s="23"/>
      <c r="AH1044" s="23"/>
      <c r="AI1044" s="23"/>
      <c r="AJ1044" s="23">
        <v>0</v>
      </c>
      <c r="AK1044" s="23">
        <v>0</v>
      </c>
    </row>
    <row r="1045" spans="2:37" x14ac:dyDescent="0.3"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  <c r="AA1045" s="23"/>
      <c r="AB1045" s="23"/>
      <c r="AC1045" s="23"/>
      <c r="AD1045" s="23"/>
      <c r="AE1045" s="23"/>
      <c r="AF1045" s="23"/>
      <c r="AG1045" s="23"/>
      <c r="AH1045" s="23"/>
      <c r="AI1045" s="23"/>
      <c r="AJ1045" s="23">
        <v>0</v>
      </c>
      <c r="AK1045" s="23">
        <v>0</v>
      </c>
    </row>
    <row r="1046" spans="2:37" x14ac:dyDescent="0.3"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  <c r="AA1046" s="23"/>
      <c r="AB1046" s="23"/>
      <c r="AC1046" s="23"/>
      <c r="AD1046" s="23"/>
      <c r="AE1046" s="23"/>
      <c r="AF1046" s="23"/>
      <c r="AG1046" s="23"/>
      <c r="AH1046" s="23"/>
      <c r="AI1046" s="23"/>
      <c r="AJ1046" s="23">
        <v>0</v>
      </c>
      <c r="AK1046" s="23">
        <v>0</v>
      </c>
    </row>
    <row r="1047" spans="2:37" x14ac:dyDescent="0.3"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  <c r="AA1047" s="23"/>
      <c r="AB1047" s="23"/>
      <c r="AC1047" s="23"/>
      <c r="AD1047" s="23"/>
      <c r="AE1047" s="23"/>
      <c r="AF1047" s="23"/>
      <c r="AG1047" s="23"/>
      <c r="AH1047" s="23"/>
      <c r="AI1047" s="23"/>
      <c r="AJ1047" s="23">
        <v>0</v>
      </c>
      <c r="AK1047" s="23">
        <v>0</v>
      </c>
    </row>
    <row r="1048" spans="2:37" x14ac:dyDescent="0.3"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  <c r="AA1048" s="23"/>
      <c r="AB1048" s="23"/>
      <c r="AC1048" s="23"/>
      <c r="AD1048" s="23"/>
      <c r="AE1048" s="23"/>
      <c r="AF1048" s="23"/>
      <c r="AG1048" s="23"/>
      <c r="AH1048" s="23"/>
      <c r="AI1048" s="23"/>
      <c r="AJ1048" s="23">
        <v>0</v>
      </c>
      <c r="AK1048" s="23">
        <v>0</v>
      </c>
    </row>
    <row r="1049" spans="2:37" x14ac:dyDescent="0.3"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  <c r="AA1049" s="23"/>
      <c r="AB1049" s="23"/>
      <c r="AC1049" s="23"/>
      <c r="AD1049" s="23"/>
      <c r="AE1049" s="23"/>
      <c r="AF1049" s="23"/>
      <c r="AG1049" s="23"/>
      <c r="AH1049" s="23"/>
      <c r="AI1049" s="23"/>
      <c r="AJ1049" s="23">
        <v>0</v>
      </c>
      <c r="AK1049" s="23">
        <v>0</v>
      </c>
    </row>
    <row r="1050" spans="2:37" x14ac:dyDescent="0.3"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  <c r="AA1050" s="23"/>
      <c r="AB1050" s="23"/>
      <c r="AC1050" s="23"/>
      <c r="AD1050" s="23"/>
      <c r="AE1050" s="23"/>
      <c r="AF1050" s="23"/>
      <c r="AG1050" s="23"/>
      <c r="AH1050" s="23"/>
      <c r="AI1050" s="23"/>
      <c r="AJ1050" s="23">
        <v>0</v>
      </c>
      <c r="AK1050" s="23">
        <v>0</v>
      </c>
    </row>
    <row r="1051" spans="2:37" x14ac:dyDescent="0.3"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  <c r="AA1051" s="23"/>
      <c r="AB1051" s="23"/>
      <c r="AC1051" s="23"/>
      <c r="AD1051" s="23"/>
      <c r="AE1051" s="23"/>
      <c r="AF1051" s="23"/>
      <c r="AG1051" s="23"/>
      <c r="AH1051" s="23"/>
      <c r="AI1051" s="23"/>
      <c r="AJ1051" s="23">
        <v>0</v>
      </c>
      <c r="AK1051" s="23">
        <v>0</v>
      </c>
    </row>
    <row r="1052" spans="2:37" x14ac:dyDescent="0.3"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  <c r="AA1052" s="23"/>
      <c r="AB1052" s="23"/>
      <c r="AC1052" s="23"/>
      <c r="AD1052" s="23"/>
      <c r="AE1052" s="23"/>
      <c r="AF1052" s="23"/>
      <c r="AG1052" s="23"/>
      <c r="AH1052" s="23"/>
      <c r="AI1052" s="23"/>
      <c r="AJ1052" s="23">
        <v>0</v>
      </c>
      <c r="AK1052" s="23">
        <v>0</v>
      </c>
    </row>
    <row r="1053" spans="2:37" x14ac:dyDescent="0.3"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  <c r="AA1053" s="23"/>
      <c r="AB1053" s="23"/>
      <c r="AC1053" s="23"/>
      <c r="AD1053" s="23"/>
      <c r="AE1053" s="23"/>
      <c r="AF1053" s="23"/>
      <c r="AG1053" s="23"/>
      <c r="AH1053" s="23"/>
      <c r="AI1053" s="23"/>
      <c r="AJ1053" s="23">
        <v>0</v>
      </c>
      <c r="AK1053" s="23">
        <v>0</v>
      </c>
    </row>
    <row r="1054" spans="2:37" x14ac:dyDescent="0.3"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  <c r="AA1054" s="23"/>
      <c r="AB1054" s="23"/>
      <c r="AC1054" s="23"/>
      <c r="AD1054" s="23"/>
      <c r="AE1054" s="23"/>
      <c r="AF1054" s="23"/>
      <c r="AG1054" s="23"/>
      <c r="AH1054" s="23"/>
      <c r="AI1054" s="23"/>
      <c r="AJ1054" s="23">
        <v>0</v>
      </c>
      <c r="AK1054" s="23">
        <v>0</v>
      </c>
    </row>
    <row r="1055" spans="2:37" x14ac:dyDescent="0.3"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  <c r="AA1055" s="23"/>
      <c r="AB1055" s="23"/>
      <c r="AC1055" s="23"/>
      <c r="AD1055" s="23"/>
      <c r="AE1055" s="23"/>
      <c r="AF1055" s="23"/>
      <c r="AG1055" s="23"/>
      <c r="AH1055" s="23"/>
      <c r="AI1055" s="23"/>
      <c r="AJ1055" s="23">
        <v>0</v>
      </c>
      <c r="AK1055" s="23">
        <v>0</v>
      </c>
    </row>
    <row r="1056" spans="2:37" x14ac:dyDescent="0.3"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  <c r="AA1056" s="23"/>
      <c r="AB1056" s="23"/>
      <c r="AC1056" s="23"/>
      <c r="AD1056" s="23"/>
      <c r="AE1056" s="23"/>
      <c r="AF1056" s="23"/>
      <c r="AG1056" s="23"/>
      <c r="AH1056" s="23"/>
      <c r="AI1056" s="23"/>
      <c r="AJ1056" s="23">
        <v>0</v>
      </c>
      <c r="AK1056" s="23">
        <v>0</v>
      </c>
    </row>
    <row r="1057" spans="2:37" x14ac:dyDescent="0.3"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  <c r="AA1057" s="23"/>
      <c r="AB1057" s="23"/>
      <c r="AC1057" s="23"/>
      <c r="AD1057" s="23"/>
      <c r="AE1057" s="23"/>
      <c r="AF1057" s="23"/>
      <c r="AG1057" s="23"/>
      <c r="AH1057" s="23"/>
      <c r="AI1057" s="23"/>
      <c r="AJ1057" s="23">
        <v>0</v>
      </c>
      <c r="AK1057" s="23">
        <v>0</v>
      </c>
    </row>
    <row r="1058" spans="2:37" x14ac:dyDescent="0.3"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  <c r="AA1058" s="23"/>
      <c r="AB1058" s="23"/>
      <c r="AC1058" s="23"/>
      <c r="AD1058" s="23"/>
      <c r="AE1058" s="23"/>
      <c r="AF1058" s="23"/>
      <c r="AG1058" s="23"/>
      <c r="AH1058" s="23"/>
      <c r="AI1058" s="23"/>
      <c r="AJ1058" s="23">
        <v>0</v>
      </c>
      <c r="AK1058" s="23">
        <v>0</v>
      </c>
    </row>
    <row r="1059" spans="2:37" x14ac:dyDescent="0.3"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  <c r="AA1059" s="23"/>
      <c r="AB1059" s="23"/>
      <c r="AC1059" s="23"/>
      <c r="AD1059" s="23"/>
      <c r="AE1059" s="23"/>
      <c r="AF1059" s="23"/>
      <c r="AG1059" s="23"/>
      <c r="AH1059" s="23"/>
      <c r="AI1059" s="23"/>
      <c r="AJ1059" s="23">
        <v>0</v>
      </c>
      <c r="AK1059" s="23">
        <v>0</v>
      </c>
    </row>
    <row r="1060" spans="2:37" x14ac:dyDescent="0.3"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  <c r="AA1060" s="23"/>
      <c r="AB1060" s="23"/>
      <c r="AC1060" s="23"/>
      <c r="AD1060" s="23"/>
      <c r="AE1060" s="23"/>
      <c r="AF1060" s="23"/>
      <c r="AG1060" s="23"/>
      <c r="AH1060" s="23"/>
      <c r="AI1060" s="23"/>
      <c r="AJ1060" s="23">
        <v>0</v>
      </c>
      <c r="AK1060" s="23">
        <v>0</v>
      </c>
    </row>
    <row r="1061" spans="2:37" x14ac:dyDescent="0.3"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  <c r="AA1061" s="23"/>
      <c r="AB1061" s="23"/>
      <c r="AC1061" s="23"/>
      <c r="AD1061" s="23"/>
      <c r="AE1061" s="23"/>
      <c r="AF1061" s="23"/>
      <c r="AG1061" s="23"/>
      <c r="AH1061" s="23"/>
      <c r="AI1061" s="23"/>
      <c r="AJ1061" s="23">
        <v>0</v>
      </c>
      <c r="AK1061" s="23">
        <v>0</v>
      </c>
    </row>
    <row r="1062" spans="2:37" x14ac:dyDescent="0.3"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  <c r="AA1062" s="23"/>
      <c r="AB1062" s="23"/>
      <c r="AC1062" s="23"/>
      <c r="AD1062" s="23"/>
      <c r="AE1062" s="23"/>
      <c r="AF1062" s="23"/>
      <c r="AG1062" s="23"/>
      <c r="AH1062" s="23"/>
      <c r="AI1062" s="23"/>
      <c r="AJ1062" s="23">
        <v>0</v>
      </c>
      <c r="AK1062" s="23">
        <v>0</v>
      </c>
    </row>
    <row r="1063" spans="2:37" x14ac:dyDescent="0.3"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  <c r="AA1063" s="23"/>
      <c r="AB1063" s="23"/>
      <c r="AC1063" s="23"/>
      <c r="AD1063" s="23"/>
      <c r="AE1063" s="23"/>
      <c r="AF1063" s="23"/>
      <c r="AG1063" s="23"/>
      <c r="AH1063" s="23"/>
      <c r="AI1063" s="23"/>
      <c r="AJ1063" s="23">
        <v>0</v>
      </c>
      <c r="AK1063" s="23">
        <v>0</v>
      </c>
    </row>
    <row r="1064" spans="2:37" x14ac:dyDescent="0.3"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  <c r="AA1064" s="23"/>
      <c r="AB1064" s="23"/>
      <c r="AC1064" s="23"/>
      <c r="AD1064" s="23"/>
      <c r="AE1064" s="23"/>
      <c r="AF1064" s="23"/>
      <c r="AG1064" s="23"/>
      <c r="AH1064" s="23"/>
      <c r="AI1064" s="23"/>
      <c r="AJ1064" s="23">
        <v>0</v>
      </c>
      <c r="AK1064" s="23">
        <v>0</v>
      </c>
    </row>
    <row r="1065" spans="2:37" x14ac:dyDescent="0.3"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  <c r="AA1065" s="23"/>
      <c r="AB1065" s="23"/>
      <c r="AC1065" s="23"/>
      <c r="AD1065" s="23"/>
      <c r="AE1065" s="23"/>
      <c r="AF1065" s="23"/>
      <c r="AG1065" s="23"/>
      <c r="AH1065" s="23"/>
      <c r="AI1065" s="23"/>
      <c r="AJ1065" s="23">
        <v>0</v>
      </c>
      <c r="AK1065" s="23">
        <v>0</v>
      </c>
    </row>
    <row r="1066" spans="2:37" x14ac:dyDescent="0.3"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  <c r="AA1066" s="23"/>
      <c r="AB1066" s="23"/>
      <c r="AC1066" s="23"/>
      <c r="AD1066" s="23"/>
      <c r="AE1066" s="23"/>
      <c r="AF1066" s="23"/>
      <c r="AG1066" s="23"/>
      <c r="AH1066" s="23"/>
      <c r="AI1066" s="23"/>
      <c r="AJ1066" s="23">
        <v>0</v>
      </c>
      <c r="AK1066" s="23">
        <v>0</v>
      </c>
    </row>
    <row r="1067" spans="2:37" x14ac:dyDescent="0.3"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  <c r="AA1067" s="23"/>
      <c r="AB1067" s="23"/>
      <c r="AC1067" s="23"/>
      <c r="AD1067" s="23"/>
      <c r="AE1067" s="23"/>
      <c r="AF1067" s="23"/>
      <c r="AG1067" s="23"/>
      <c r="AH1067" s="23"/>
      <c r="AI1067" s="23"/>
      <c r="AJ1067" s="23">
        <v>0</v>
      </c>
      <c r="AK1067" s="23">
        <v>0</v>
      </c>
    </row>
    <row r="1068" spans="2:37" x14ac:dyDescent="0.3"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  <c r="AA1068" s="23"/>
      <c r="AB1068" s="23"/>
      <c r="AC1068" s="23"/>
      <c r="AD1068" s="23"/>
      <c r="AE1068" s="23"/>
      <c r="AF1068" s="23"/>
      <c r="AG1068" s="23"/>
      <c r="AH1068" s="23"/>
      <c r="AI1068" s="23"/>
      <c r="AJ1068" s="23">
        <v>0</v>
      </c>
      <c r="AK1068" s="23">
        <v>0</v>
      </c>
    </row>
    <row r="1069" spans="2:37" x14ac:dyDescent="0.3"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  <c r="AA1069" s="23"/>
      <c r="AB1069" s="23"/>
      <c r="AC1069" s="23"/>
      <c r="AD1069" s="23"/>
      <c r="AE1069" s="23"/>
      <c r="AF1069" s="23"/>
      <c r="AG1069" s="23"/>
      <c r="AH1069" s="23"/>
      <c r="AI1069" s="23"/>
      <c r="AJ1069" s="23">
        <v>0</v>
      </c>
      <c r="AK1069" s="23">
        <v>0</v>
      </c>
    </row>
    <row r="1070" spans="2:37" x14ac:dyDescent="0.3"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  <c r="AA1070" s="23"/>
      <c r="AB1070" s="23"/>
      <c r="AC1070" s="23"/>
      <c r="AD1070" s="23"/>
      <c r="AE1070" s="23"/>
      <c r="AF1070" s="23"/>
      <c r="AG1070" s="23"/>
      <c r="AH1070" s="23"/>
      <c r="AI1070" s="23"/>
      <c r="AJ1070" s="23">
        <v>0</v>
      </c>
      <c r="AK1070" s="23">
        <v>0</v>
      </c>
    </row>
    <row r="1071" spans="2:37" x14ac:dyDescent="0.3"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  <c r="AA1071" s="23"/>
      <c r="AB1071" s="23"/>
      <c r="AC1071" s="23"/>
      <c r="AD1071" s="23"/>
      <c r="AE1071" s="23"/>
      <c r="AF1071" s="23"/>
      <c r="AG1071" s="23"/>
      <c r="AH1071" s="23"/>
      <c r="AI1071" s="23"/>
      <c r="AJ1071" s="23">
        <v>0</v>
      </c>
      <c r="AK1071" s="23">
        <v>0</v>
      </c>
    </row>
    <row r="1072" spans="2:37" x14ac:dyDescent="0.3"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  <c r="AA1072" s="23"/>
      <c r="AB1072" s="23"/>
      <c r="AC1072" s="23"/>
      <c r="AD1072" s="23"/>
      <c r="AE1072" s="23"/>
      <c r="AF1072" s="23"/>
      <c r="AG1072" s="23"/>
      <c r="AH1072" s="23"/>
      <c r="AI1072" s="23"/>
      <c r="AJ1072" s="23">
        <v>0</v>
      </c>
      <c r="AK1072" s="23">
        <v>0</v>
      </c>
    </row>
    <row r="1073" spans="2:37" x14ac:dyDescent="0.3"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  <c r="AA1073" s="23"/>
      <c r="AB1073" s="23"/>
      <c r="AC1073" s="23"/>
      <c r="AD1073" s="23"/>
      <c r="AE1073" s="23"/>
      <c r="AF1073" s="23"/>
      <c r="AG1073" s="23"/>
      <c r="AH1073" s="23"/>
      <c r="AI1073" s="23"/>
      <c r="AJ1073" s="23">
        <v>0</v>
      </c>
      <c r="AK1073" s="23">
        <v>0</v>
      </c>
    </row>
    <row r="1074" spans="2:37" x14ac:dyDescent="0.3"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  <c r="AA1074" s="23"/>
      <c r="AB1074" s="23"/>
      <c r="AC1074" s="23"/>
      <c r="AD1074" s="23"/>
      <c r="AE1074" s="23"/>
      <c r="AF1074" s="23"/>
      <c r="AG1074" s="23"/>
      <c r="AH1074" s="23"/>
      <c r="AI1074" s="23"/>
      <c r="AJ1074" s="23">
        <v>0</v>
      </c>
      <c r="AK1074" s="23">
        <v>0</v>
      </c>
    </row>
    <row r="1075" spans="2:37" x14ac:dyDescent="0.3"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  <c r="AA1075" s="23"/>
      <c r="AB1075" s="23"/>
      <c r="AC1075" s="23"/>
      <c r="AD1075" s="23"/>
      <c r="AE1075" s="23"/>
      <c r="AF1075" s="23"/>
      <c r="AG1075" s="23"/>
      <c r="AH1075" s="23"/>
      <c r="AI1075" s="23"/>
      <c r="AJ1075" s="23">
        <v>0</v>
      </c>
      <c r="AK1075" s="23">
        <v>0</v>
      </c>
    </row>
    <row r="1076" spans="2:37" x14ac:dyDescent="0.3"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  <c r="AA1076" s="23"/>
      <c r="AB1076" s="23"/>
      <c r="AC1076" s="23"/>
      <c r="AD1076" s="23"/>
      <c r="AE1076" s="23"/>
      <c r="AF1076" s="23"/>
      <c r="AG1076" s="23"/>
      <c r="AH1076" s="23"/>
      <c r="AI1076" s="23"/>
      <c r="AJ1076" s="23">
        <v>0</v>
      </c>
      <c r="AK1076" s="23">
        <v>0</v>
      </c>
    </row>
    <row r="1077" spans="2:37" x14ac:dyDescent="0.3"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  <c r="AA1077" s="23"/>
      <c r="AB1077" s="23"/>
      <c r="AC1077" s="23"/>
      <c r="AD1077" s="23"/>
      <c r="AE1077" s="23"/>
      <c r="AF1077" s="23"/>
      <c r="AG1077" s="23"/>
      <c r="AH1077" s="23"/>
      <c r="AI1077" s="23"/>
      <c r="AJ1077" s="23">
        <v>0</v>
      </c>
      <c r="AK1077" s="23">
        <v>0</v>
      </c>
    </row>
    <row r="1078" spans="2:37" x14ac:dyDescent="0.3"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  <c r="AA1078" s="23"/>
      <c r="AB1078" s="23"/>
      <c r="AC1078" s="23"/>
      <c r="AD1078" s="23"/>
      <c r="AE1078" s="23"/>
      <c r="AF1078" s="23"/>
      <c r="AG1078" s="23"/>
      <c r="AH1078" s="23"/>
      <c r="AI1078" s="23"/>
      <c r="AJ1078" s="23">
        <v>0</v>
      </c>
      <c r="AK1078" s="23">
        <v>0</v>
      </c>
    </row>
    <row r="1079" spans="2:37" x14ac:dyDescent="0.3"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  <c r="AA1079" s="23"/>
      <c r="AB1079" s="23"/>
      <c r="AC1079" s="23"/>
      <c r="AD1079" s="23"/>
      <c r="AE1079" s="23"/>
      <c r="AF1079" s="23"/>
      <c r="AG1079" s="23"/>
      <c r="AH1079" s="23"/>
      <c r="AI1079" s="23"/>
      <c r="AJ1079" s="23">
        <v>0</v>
      </c>
      <c r="AK1079" s="23">
        <v>0</v>
      </c>
    </row>
    <row r="1080" spans="2:37" x14ac:dyDescent="0.3"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  <c r="AA1080" s="23"/>
      <c r="AB1080" s="23"/>
      <c r="AC1080" s="23"/>
      <c r="AD1080" s="23"/>
      <c r="AE1080" s="23"/>
      <c r="AF1080" s="23"/>
      <c r="AG1080" s="23"/>
      <c r="AH1080" s="23"/>
      <c r="AI1080" s="23"/>
      <c r="AJ1080" s="23">
        <v>0</v>
      </c>
      <c r="AK1080" s="23">
        <v>0</v>
      </c>
    </row>
    <row r="1081" spans="2:37" x14ac:dyDescent="0.3"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  <c r="AA1081" s="23"/>
      <c r="AB1081" s="23"/>
      <c r="AC1081" s="23"/>
      <c r="AD1081" s="23"/>
      <c r="AE1081" s="23"/>
      <c r="AF1081" s="23"/>
      <c r="AG1081" s="23"/>
      <c r="AH1081" s="23"/>
      <c r="AI1081" s="23"/>
      <c r="AJ1081" s="23">
        <v>0</v>
      </c>
      <c r="AK1081" s="23">
        <v>0</v>
      </c>
    </row>
    <row r="1082" spans="2:37" x14ac:dyDescent="0.3"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  <c r="AA1082" s="23"/>
      <c r="AB1082" s="23"/>
      <c r="AC1082" s="23"/>
      <c r="AD1082" s="23"/>
      <c r="AE1082" s="23"/>
      <c r="AF1082" s="23"/>
      <c r="AG1082" s="23"/>
      <c r="AH1082" s="23"/>
      <c r="AI1082" s="23"/>
      <c r="AJ1082" s="23">
        <v>0</v>
      </c>
      <c r="AK1082" s="23">
        <v>0</v>
      </c>
    </row>
    <row r="1083" spans="2:37" x14ac:dyDescent="0.3"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  <c r="AA1083" s="23"/>
      <c r="AB1083" s="23"/>
      <c r="AC1083" s="23"/>
      <c r="AD1083" s="23"/>
      <c r="AE1083" s="23"/>
      <c r="AF1083" s="23"/>
      <c r="AG1083" s="23"/>
      <c r="AH1083" s="23"/>
      <c r="AI1083" s="23"/>
      <c r="AJ1083" s="23">
        <v>0</v>
      </c>
      <c r="AK1083" s="23">
        <v>0</v>
      </c>
    </row>
    <row r="1084" spans="2:37" x14ac:dyDescent="0.3"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  <c r="AA1084" s="23"/>
      <c r="AB1084" s="23"/>
      <c r="AC1084" s="23"/>
      <c r="AD1084" s="23"/>
      <c r="AE1084" s="23"/>
      <c r="AF1084" s="23"/>
      <c r="AG1084" s="23"/>
      <c r="AH1084" s="23"/>
      <c r="AI1084" s="23"/>
      <c r="AJ1084" s="23">
        <v>0</v>
      </c>
      <c r="AK1084" s="23">
        <v>0</v>
      </c>
    </row>
    <row r="1085" spans="2:37" x14ac:dyDescent="0.3"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  <c r="AA1085" s="23"/>
      <c r="AB1085" s="23"/>
      <c r="AC1085" s="23"/>
      <c r="AD1085" s="23"/>
      <c r="AE1085" s="23"/>
      <c r="AF1085" s="23"/>
      <c r="AG1085" s="23"/>
      <c r="AH1085" s="23"/>
      <c r="AI1085" s="23"/>
      <c r="AJ1085" s="23">
        <v>0</v>
      </c>
      <c r="AK1085" s="23">
        <v>0</v>
      </c>
    </row>
    <row r="1086" spans="2:37" x14ac:dyDescent="0.3"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  <c r="AA1086" s="23"/>
      <c r="AB1086" s="23"/>
      <c r="AC1086" s="23"/>
      <c r="AD1086" s="23"/>
      <c r="AE1086" s="23"/>
      <c r="AF1086" s="23"/>
      <c r="AG1086" s="23"/>
      <c r="AH1086" s="23"/>
      <c r="AI1086" s="23"/>
      <c r="AJ1086" s="23">
        <v>0</v>
      </c>
      <c r="AK1086" s="23">
        <v>0</v>
      </c>
    </row>
    <row r="1087" spans="2:37" x14ac:dyDescent="0.3"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  <c r="AA1087" s="23"/>
      <c r="AB1087" s="23"/>
      <c r="AC1087" s="23"/>
      <c r="AD1087" s="23"/>
      <c r="AE1087" s="23"/>
      <c r="AF1087" s="23"/>
      <c r="AG1087" s="23"/>
      <c r="AH1087" s="23"/>
      <c r="AI1087" s="23"/>
      <c r="AJ1087" s="23">
        <v>0</v>
      </c>
      <c r="AK1087" s="23">
        <v>0</v>
      </c>
    </row>
    <row r="1088" spans="2:37" x14ac:dyDescent="0.3"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  <c r="AA1088" s="23"/>
      <c r="AB1088" s="23"/>
      <c r="AC1088" s="23"/>
      <c r="AD1088" s="23"/>
      <c r="AE1088" s="23"/>
      <c r="AF1088" s="23"/>
      <c r="AG1088" s="23"/>
      <c r="AH1088" s="23"/>
      <c r="AI1088" s="23"/>
      <c r="AJ1088" s="23">
        <v>0</v>
      </c>
      <c r="AK1088" s="23">
        <v>0</v>
      </c>
    </row>
    <row r="1089" spans="2:37" x14ac:dyDescent="0.3"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  <c r="AA1089" s="23"/>
      <c r="AB1089" s="23"/>
      <c r="AC1089" s="23"/>
      <c r="AD1089" s="23"/>
      <c r="AE1089" s="23"/>
      <c r="AF1089" s="23"/>
      <c r="AG1089" s="23"/>
      <c r="AH1089" s="23"/>
      <c r="AI1089" s="23"/>
      <c r="AJ1089" s="23">
        <v>0</v>
      </c>
      <c r="AK1089" s="23">
        <v>0</v>
      </c>
    </row>
    <row r="1090" spans="2:37" x14ac:dyDescent="0.3"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  <c r="AA1090" s="23"/>
      <c r="AB1090" s="23"/>
      <c r="AC1090" s="23"/>
      <c r="AD1090" s="23"/>
      <c r="AE1090" s="23"/>
      <c r="AF1090" s="23"/>
      <c r="AG1090" s="23"/>
      <c r="AH1090" s="23"/>
      <c r="AI1090" s="23"/>
      <c r="AJ1090" s="23">
        <v>0</v>
      </c>
      <c r="AK1090" s="23">
        <v>0</v>
      </c>
    </row>
    <row r="1091" spans="2:37" x14ac:dyDescent="0.3"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  <c r="AA1091" s="23"/>
      <c r="AB1091" s="23"/>
      <c r="AC1091" s="23"/>
      <c r="AD1091" s="23"/>
      <c r="AE1091" s="23"/>
      <c r="AF1091" s="23"/>
      <c r="AG1091" s="23"/>
      <c r="AH1091" s="23"/>
      <c r="AI1091" s="23"/>
      <c r="AJ1091" s="23">
        <v>0</v>
      </c>
      <c r="AK1091" s="23">
        <v>0</v>
      </c>
    </row>
    <row r="1092" spans="2:37" x14ac:dyDescent="0.3"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  <c r="AA1092" s="23"/>
      <c r="AB1092" s="23"/>
      <c r="AC1092" s="23"/>
      <c r="AD1092" s="23"/>
      <c r="AE1092" s="23"/>
      <c r="AF1092" s="23"/>
      <c r="AG1092" s="23"/>
      <c r="AH1092" s="23"/>
      <c r="AI1092" s="23"/>
      <c r="AJ1092" s="23">
        <v>0</v>
      </c>
      <c r="AK1092" s="23">
        <v>0</v>
      </c>
    </row>
    <row r="1093" spans="2:37" x14ac:dyDescent="0.3"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  <c r="AA1093" s="23"/>
      <c r="AB1093" s="23"/>
      <c r="AC1093" s="23"/>
      <c r="AD1093" s="23"/>
      <c r="AE1093" s="23"/>
      <c r="AF1093" s="23"/>
      <c r="AG1093" s="23"/>
      <c r="AH1093" s="23"/>
      <c r="AI1093" s="23"/>
      <c r="AJ1093" s="23">
        <v>0</v>
      </c>
      <c r="AK1093" s="23">
        <v>0</v>
      </c>
    </row>
    <row r="1094" spans="2:37" x14ac:dyDescent="0.3"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  <c r="AA1094" s="23"/>
      <c r="AB1094" s="23"/>
      <c r="AC1094" s="23"/>
      <c r="AD1094" s="23"/>
      <c r="AE1094" s="23"/>
      <c r="AF1094" s="23"/>
      <c r="AG1094" s="23"/>
      <c r="AH1094" s="23"/>
      <c r="AI1094" s="23"/>
      <c r="AJ1094" s="23">
        <v>0</v>
      </c>
      <c r="AK1094" s="23">
        <v>0</v>
      </c>
    </row>
    <row r="1095" spans="2:37" x14ac:dyDescent="0.3"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  <c r="AA1095" s="23"/>
      <c r="AB1095" s="23"/>
      <c r="AC1095" s="23"/>
      <c r="AD1095" s="23"/>
      <c r="AE1095" s="23"/>
      <c r="AF1095" s="23"/>
      <c r="AG1095" s="23"/>
      <c r="AH1095" s="23"/>
      <c r="AI1095" s="23"/>
      <c r="AJ1095" s="23">
        <v>0</v>
      </c>
      <c r="AK1095" s="23">
        <v>0</v>
      </c>
    </row>
    <row r="1096" spans="2:37" x14ac:dyDescent="0.3"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  <c r="AA1096" s="23"/>
      <c r="AB1096" s="23"/>
      <c r="AC1096" s="23"/>
      <c r="AD1096" s="23"/>
      <c r="AE1096" s="23"/>
      <c r="AF1096" s="23"/>
      <c r="AG1096" s="23"/>
      <c r="AH1096" s="23"/>
      <c r="AI1096" s="23"/>
      <c r="AJ1096" s="23">
        <v>0</v>
      </c>
      <c r="AK1096" s="23">
        <v>0</v>
      </c>
    </row>
    <row r="1097" spans="2:37" x14ac:dyDescent="0.3"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  <c r="AA1097" s="23"/>
      <c r="AB1097" s="23"/>
      <c r="AC1097" s="23"/>
      <c r="AD1097" s="23"/>
      <c r="AE1097" s="23"/>
      <c r="AF1097" s="23"/>
      <c r="AG1097" s="23"/>
      <c r="AH1097" s="23"/>
      <c r="AI1097" s="23"/>
      <c r="AJ1097" s="23">
        <v>0</v>
      </c>
      <c r="AK1097" s="23">
        <v>0</v>
      </c>
    </row>
    <row r="1098" spans="2:37" x14ac:dyDescent="0.3"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  <c r="AA1098" s="23"/>
      <c r="AB1098" s="23"/>
      <c r="AC1098" s="23"/>
      <c r="AD1098" s="23"/>
      <c r="AE1098" s="23"/>
      <c r="AF1098" s="23"/>
      <c r="AG1098" s="23"/>
      <c r="AH1098" s="23"/>
      <c r="AI1098" s="23"/>
      <c r="AJ1098" s="23">
        <v>0</v>
      </c>
      <c r="AK1098" s="23">
        <v>0</v>
      </c>
    </row>
    <row r="1099" spans="2:37" x14ac:dyDescent="0.3"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  <c r="AA1099" s="23"/>
      <c r="AB1099" s="23"/>
      <c r="AC1099" s="23"/>
      <c r="AD1099" s="23"/>
      <c r="AE1099" s="23"/>
      <c r="AF1099" s="23"/>
      <c r="AG1099" s="23"/>
      <c r="AH1099" s="23"/>
      <c r="AI1099" s="23"/>
      <c r="AJ1099" s="23">
        <v>0</v>
      </c>
      <c r="AK1099" s="23">
        <v>0</v>
      </c>
    </row>
    <row r="1100" spans="2:37" x14ac:dyDescent="0.3"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  <c r="AA1100" s="23"/>
      <c r="AB1100" s="23"/>
      <c r="AC1100" s="23"/>
      <c r="AD1100" s="23"/>
      <c r="AE1100" s="23"/>
      <c r="AF1100" s="23"/>
      <c r="AG1100" s="23"/>
      <c r="AH1100" s="23"/>
      <c r="AI1100" s="23"/>
      <c r="AJ1100" s="23">
        <v>0</v>
      </c>
      <c r="AK1100" s="23">
        <v>0</v>
      </c>
    </row>
    <row r="1101" spans="2:37" x14ac:dyDescent="0.3"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  <c r="AA1101" s="23"/>
      <c r="AB1101" s="23"/>
      <c r="AC1101" s="23"/>
      <c r="AD1101" s="23"/>
      <c r="AE1101" s="23"/>
      <c r="AF1101" s="23"/>
      <c r="AG1101" s="23"/>
      <c r="AH1101" s="23"/>
      <c r="AI1101" s="23"/>
      <c r="AJ1101" s="23">
        <v>0</v>
      </c>
      <c r="AK1101" s="23">
        <v>0</v>
      </c>
    </row>
    <row r="1102" spans="2:37" x14ac:dyDescent="0.3"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  <c r="AA1102" s="23"/>
      <c r="AB1102" s="23"/>
      <c r="AC1102" s="23"/>
      <c r="AD1102" s="23"/>
      <c r="AE1102" s="23"/>
      <c r="AF1102" s="23"/>
      <c r="AG1102" s="23"/>
      <c r="AH1102" s="23"/>
      <c r="AI1102" s="23"/>
      <c r="AJ1102" s="23">
        <v>0</v>
      </c>
      <c r="AK1102" s="23">
        <v>0</v>
      </c>
    </row>
    <row r="1103" spans="2:37" x14ac:dyDescent="0.3"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  <c r="AA1103" s="23"/>
      <c r="AB1103" s="23"/>
      <c r="AC1103" s="23"/>
      <c r="AD1103" s="23"/>
      <c r="AE1103" s="23"/>
      <c r="AF1103" s="23"/>
      <c r="AG1103" s="23"/>
      <c r="AH1103" s="23"/>
      <c r="AI1103" s="23"/>
      <c r="AJ1103" s="23">
        <v>0</v>
      </c>
      <c r="AK1103" s="23">
        <v>0</v>
      </c>
    </row>
    <row r="1104" spans="2:37" x14ac:dyDescent="0.3"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  <c r="AA1104" s="23"/>
      <c r="AB1104" s="23"/>
      <c r="AC1104" s="23"/>
      <c r="AD1104" s="23"/>
      <c r="AE1104" s="23"/>
      <c r="AF1104" s="23"/>
      <c r="AG1104" s="23"/>
      <c r="AH1104" s="23"/>
      <c r="AI1104" s="23"/>
      <c r="AJ1104" s="23">
        <v>0</v>
      </c>
      <c r="AK1104" s="23">
        <v>0</v>
      </c>
    </row>
    <row r="1105" spans="2:37" x14ac:dyDescent="0.3"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  <c r="AA1105" s="23"/>
      <c r="AB1105" s="23"/>
      <c r="AC1105" s="23"/>
      <c r="AD1105" s="23"/>
      <c r="AE1105" s="23"/>
      <c r="AF1105" s="23"/>
      <c r="AG1105" s="23"/>
      <c r="AH1105" s="23"/>
      <c r="AI1105" s="23"/>
      <c r="AJ1105" s="23">
        <v>0</v>
      </c>
      <c r="AK1105" s="23">
        <v>0</v>
      </c>
    </row>
    <row r="1106" spans="2:37" x14ac:dyDescent="0.3"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  <c r="AA1106" s="23"/>
      <c r="AB1106" s="23"/>
      <c r="AC1106" s="23"/>
      <c r="AD1106" s="23"/>
      <c r="AE1106" s="23"/>
      <c r="AF1106" s="23"/>
      <c r="AG1106" s="23"/>
      <c r="AH1106" s="23"/>
      <c r="AI1106" s="23"/>
      <c r="AJ1106" s="23">
        <v>0</v>
      </c>
      <c r="AK1106" s="23">
        <v>0</v>
      </c>
    </row>
    <row r="1107" spans="2:37" x14ac:dyDescent="0.3"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  <c r="AA1107" s="23"/>
      <c r="AB1107" s="23"/>
      <c r="AC1107" s="23"/>
      <c r="AD1107" s="23"/>
      <c r="AE1107" s="23"/>
      <c r="AF1107" s="23"/>
      <c r="AG1107" s="23"/>
      <c r="AH1107" s="23"/>
      <c r="AI1107" s="23"/>
      <c r="AJ1107" s="23">
        <v>0</v>
      </c>
      <c r="AK1107" s="23">
        <v>0</v>
      </c>
    </row>
    <row r="1108" spans="2:37" x14ac:dyDescent="0.3"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  <c r="AA1108" s="23"/>
      <c r="AB1108" s="23"/>
      <c r="AC1108" s="23"/>
      <c r="AD1108" s="23"/>
      <c r="AE1108" s="23"/>
      <c r="AF1108" s="23"/>
      <c r="AG1108" s="23"/>
      <c r="AH1108" s="23"/>
      <c r="AI1108" s="23"/>
      <c r="AJ1108" s="23">
        <v>0</v>
      </c>
      <c r="AK1108" s="23">
        <v>0</v>
      </c>
    </row>
    <row r="1109" spans="2:37" x14ac:dyDescent="0.3"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  <c r="AA1109" s="23"/>
      <c r="AB1109" s="23"/>
      <c r="AC1109" s="23"/>
      <c r="AD1109" s="23"/>
      <c r="AE1109" s="23"/>
      <c r="AF1109" s="23"/>
      <c r="AG1109" s="23"/>
      <c r="AH1109" s="23"/>
      <c r="AI1109" s="23"/>
      <c r="AJ1109" s="23">
        <v>0</v>
      </c>
      <c r="AK1109" s="23">
        <v>0</v>
      </c>
    </row>
    <row r="1110" spans="2:37" x14ac:dyDescent="0.3"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  <c r="AA1110" s="23"/>
      <c r="AB1110" s="23"/>
      <c r="AC1110" s="23"/>
      <c r="AD1110" s="23"/>
      <c r="AE1110" s="23"/>
      <c r="AF1110" s="23"/>
      <c r="AG1110" s="23"/>
      <c r="AH1110" s="23"/>
      <c r="AI1110" s="23"/>
      <c r="AJ1110" s="23">
        <v>0</v>
      </c>
      <c r="AK1110" s="23">
        <v>0</v>
      </c>
    </row>
    <row r="1111" spans="2:37" x14ac:dyDescent="0.3"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  <c r="AA1111" s="23"/>
      <c r="AB1111" s="23"/>
      <c r="AC1111" s="23"/>
      <c r="AD1111" s="23"/>
      <c r="AE1111" s="23"/>
      <c r="AF1111" s="23"/>
      <c r="AG1111" s="23"/>
      <c r="AH1111" s="23"/>
      <c r="AI1111" s="23"/>
      <c r="AJ1111" s="23">
        <v>0</v>
      </c>
      <c r="AK1111" s="23">
        <v>0</v>
      </c>
    </row>
    <row r="1112" spans="2:37" x14ac:dyDescent="0.3"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  <c r="AA1112" s="23"/>
      <c r="AB1112" s="23"/>
      <c r="AC1112" s="23"/>
      <c r="AD1112" s="23"/>
      <c r="AE1112" s="23"/>
      <c r="AF1112" s="23"/>
      <c r="AG1112" s="23"/>
      <c r="AH1112" s="23"/>
      <c r="AI1112" s="23"/>
      <c r="AJ1112" s="23">
        <v>0</v>
      </c>
      <c r="AK1112" s="23">
        <v>0</v>
      </c>
    </row>
    <row r="1113" spans="2:37" x14ac:dyDescent="0.3"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  <c r="AA1113" s="23"/>
      <c r="AB1113" s="23"/>
      <c r="AC1113" s="23"/>
      <c r="AD1113" s="23"/>
      <c r="AE1113" s="23"/>
      <c r="AF1113" s="23"/>
      <c r="AG1113" s="23"/>
      <c r="AH1113" s="23"/>
      <c r="AI1113" s="23"/>
      <c r="AJ1113" s="23">
        <v>0</v>
      </c>
      <c r="AK1113" s="23">
        <v>0</v>
      </c>
    </row>
    <row r="1114" spans="2:37" x14ac:dyDescent="0.3"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  <c r="AA1114" s="23"/>
      <c r="AB1114" s="23"/>
      <c r="AC1114" s="23"/>
      <c r="AD1114" s="23"/>
      <c r="AE1114" s="23"/>
      <c r="AF1114" s="23"/>
      <c r="AG1114" s="23"/>
      <c r="AH1114" s="23"/>
      <c r="AI1114" s="23"/>
      <c r="AJ1114" s="23">
        <v>0</v>
      </c>
      <c r="AK1114" s="23">
        <v>0</v>
      </c>
    </row>
    <row r="1115" spans="2:37" x14ac:dyDescent="0.3"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  <c r="AA1115" s="23"/>
      <c r="AB1115" s="23"/>
      <c r="AC1115" s="23"/>
      <c r="AD1115" s="23"/>
      <c r="AE1115" s="23"/>
      <c r="AF1115" s="23"/>
      <c r="AG1115" s="23"/>
      <c r="AH1115" s="23"/>
      <c r="AI1115" s="23"/>
      <c r="AJ1115" s="23">
        <v>0</v>
      </c>
      <c r="AK1115" s="23">
        <v>0</v>
      </c>
    </row>
    <row r="1116" spans="2:37" x14ac:dyDescent="0.3"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  <c r="AA1116" s="23"/>
      <c r="AB1116" s="23"/>
      <c r="AC1116" s="23"/>
      <c r="AD1116" s="23"/>
      <c r="AE1116" s="23"/>
      <c r="AF1116" s="23"/>
      <c r="AG1116" s="23"/>
      <c r="AH1116" s="23"/>
      <c r="AI1116" s="23"/>
      <c r="AJ1116" s="23">
        <v>0</v>
      </c>
      <c r="AK1116" s="23">
        <v>0</v>
      </c>
    </row>
    <row r="1117" spans="2:37" x14ac:dyDescent="0.3"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  <c r="AA1117" s="23"/>
      <c r="AB1117" s="23"/>
      <c r="AC1117" s="23"/>
      <c r="AD1117" s="23"/>
      <c r="AE1117" s="23"/>
      <c r="AF1117" s="23"/>
      <c r="AG1117" s="23"/>
      <c r="AH1117" s="23"/>
      <c r="AI1117" s="23"/>
      <c r="AJ1117" s="23">
        <v>0</v>
      </c>
      <c r="AK1117" s="23">
        <v>0</v>
      </c>
    </row>
    <row r="1118" spans="2:37" x14ac:dyDescent="0.3"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  <c r="AA1118" s="23"/>
      <c r="AB1118" s="23"/>
      <c r="AC1118" s="23"/>
      <c r="AD1118" s="23"/>
      <c r="AE1118" s="23"/>
      <c r="AF1118" s="23"/>
      <c r="AG1118" s="23"/>
      <c r="AH1118" s="23"/>
      <c r="AI1118" s="23"/>
      <c r="AJ1118" s="23">
        <v>0</v>
      </c>
      <c r="AK1118" s="23">
        <v>0</v>
      </c>
    </row>
    <row r="1119" spans="2:37" x14ac:dyDescent="0.3"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  <c r="AA1119" s="23"/>
      <c r="AB1119" s="23"/>
      <c r="AC1119" s="23"/>
      <c r="AD1119" s="23"/>
      <c r="AE1119" s="23"/>
      <c r="AF1119" s="23"/>
      <c r="AG1119" s="23"/>
      <c r="AH1119" s="23"/>
      <c r="AI1119" s="23"/>
      <c r="AJ1119" s="23">
        <v>0</v>
      </c>
      <c r="AK1119" s="23">
        <v>0</v>
      </c>
    </row>
    <row r="1120" spans="2:37" x14ac:dyDescent="0.3"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  <c r="AA1120" s="23"/>
      <c r="AB1120" s="23"/>
      <c r="AC1120" s="23"/>
      <c r="AD1120" s="23"/>
      <c r="AE1120" s="23"/>
      <c r="AF1120" s="23"/>
      <c r="AG1120" s="23"/>
      <c r="AH1120" s="23"/>
      <c r="AI1120" s="23"/>
      <c r="AJ1120" s="23">
        <v>0</v>
      </c>
      <c r="AK1120" s="23">
        <v>0</v>
      </c>
    </row>
    <row r="1121" spans="2:37" x14ac:dyDescent="0.3"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  <c r="AA1121" s="23"/>
      <c r="AB1121" s="23"/>
      <c r="AC1121" s="23"/>
      <c r="AD1121" s="23"/>
      <c r="AE1121" s="23"/>
      <c r="AF1121" s="23"/>
      <c r="AG1121" s="23"/>
      <c r="AH1121" s="23"/>
      <c r="AI1121" s="23"/>
      <c r="AJ1121" s="23">
        <v>0</v>
      </c>
      <c r="AK1121" s="23">
        <v>0</v>
      </c>
    </row>
    <row r="1122" spans="2:37" x14ac:dyDescent="0.3"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  <c r="AA1122" s="23"/>
      <c r="AB1122" s="23"/>
      <c r="AC1122" s="23"/>
      <c r="AD1122" s="23"/>
      <c r="AE1122" s="23"/>
      <c r="AF1122" s="23"/>
      <c r="AG1122" s="23"/>
      <c r="AH1122" s="23"/>
      <c r="AI1122" s="23"/>
      <c r="AJ1122" s="23">
        <v>0</v>
      </c>
      <c r="AK1122" s="23">
        <v>0</v>
      </c>
    </row>
    <row r="1123" spans="2:37" x14ac:dyDescent="0.3"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  <c r="AA1123" s="23"/>
      <c r="AB1123" s="23"/>
      <c r="AC1123" s="23"/>
      <c r="AD1123" s="23"/>
      <c r="AE1123" s="23"/>
      <c r="AF1123" s="23"/>
      <c r="AG1123" s="23"/>
      <c r="AH1123" s="23"/>
      <c r="AI1123" s="23"/>
      <c r="AJ1123" s="23">
        <v>0</v>
      </c>
      <c r="AK1123" s="23">
        <v>0</v>
      </c>
    </row>
    <row r="1124" spans="2:37" x14ac:dyDescent="0.3"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  <c r="AA1124" s="23"/>
      <c r="AB1124" s="23"/>
      <c r="AC1124" s="23"/>
      <c r="AD1124" s="23"/>
      <c r="AE1124" s="23"/>
      <c r="AF1124" s="23"/>
      <c r="AG1124" s="23"/>
      <c r="AH1124" s="23"/>
      <c r="AI1124" s="23"/>
      <c r="AJ1124" s="23">
        <v>0</v>
      </c>
      <c r="AK1124" s="23">
        <v>0</v>
      </c>
    </row>
    <row r="1125" spans="2:37" x14ac:dyDescent="0.3"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  <c r="AA1125" s="23"/>
      <c r="AB1125" s="23"/>
      <c r="AC1125" s="23"/>
      <c r="AD1125" s="23"/>
      <c r="AE1125" s="23"/>
      <c r="AF1125" s="23"/>
      <c r="AG1125" s="23"/>
      <c r="AH1125" s="23"/>
      <c r="AI1125" s="23"/>
      <c r="AJ1125" s="23">
        <v>0</v>
      </c>
      <c r="AK1125" s="23">
        <v>0</v>
      </c>
    </row>
    <row r="1126" spans="2:37" x14ac:dyDescent="0.3"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  <c r="AA1126" s="23"/>
      <c r="AB1126" s="23"/>
      <c r="AC1126" s="23"/>
      <c r="AD1126" s="23"/>
      <c r="AE1126" s="23"/>
      <c r="AF1126" s="23"/>
      <c r="AG1126" s="23"/>
      <c r="AH1126" s="23"/>
      <c r="AI1126" s="23"/>
      <c r="AJ1126" s="23">
        <v>0</v>
      </c>
      <c r="AK1126" s="23">
        <v>0</v>
      </c>
    </row>
    <row r="1127" spans="2:37" x14ac:dyDescent="0.3"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  <c r="AA1127" s="23"/>
      <c r="AB1127" s="23"/>
      <c r="AC1127" s="23"/>
      <c r="AD1127" s="23"/>
      <c r="AE1127" s="23"/>
      <c r="AF1127" s="23"/>
      <c r="AG1127" s="23"/>
      <c r="AH1127" s="23"/>
      <c r="AI1127" s="23"/>
      <c r="AJ1127" s="23">
        <v>0</v>
      </c>
      <c r="AK1127" s="23">
        <v>0</v>
      </c>
    </row>
    <row r="1128" spans="2:37" x14ac:dyDescent="0.3"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  <c r="AA1128" s="23"/>
      <c r="AB1128" s="23"/>
      <c r="AC1128" s="23"/>
      <c r="AD1128" s="23"/>
      <c r="AE1128" s="23"/>
      <c r="AF1128" s="23"/>
      <c r="AG1128" s="23"/>
      <c r="AH1128" s="23"/>
      <c r="AI1128" s="23"/>
      <c r="AJ1128" s="23">
        <v>0</v>
      </c>
      <c r="AK1128" s="23">
        <v>0</v>
      </c>
    </row>
    <row r="1129" spans="2:37" x14ac:dyDescent="0.3"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  <c r="AA1129" s="23"/>
      <c r="AB1129" s="23"/>
      <c r="AC1129" s="23"/>
      <c r="AD1129" s="23"/>
      <c r="AE1129" s="23"/>
      <c r="AF1129" s="23"/>
      <c r="AG1129" s="23"/>
      <c r="AH1129" s="23"/>
      <c r="AI1129" s="23"/>
      <c r="AJ1129" s="23">
        <v>0</v>
      </c>
      <c r="AK1129" s="23">
        <v>0</v>
      </c>
    </row>
    <row r="1130" spans="2:37" x14ac:dyDescent="0.3"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  <c r="AA1130" s="23"/>
      <c r="AB1130" s="23"/>
      <c r="AC1130" s="23"/>
      <c r="AD1130" s="23"/>
      <c r="AE1130" s="23"/>
      <c r="AF1130" s="23"/>
      <c r="AG1130" s="23"/>
      <c r="AH1130" s="23"/>
      <c r="AI1130" s="23"/>
      <c r="AJ1130" s="23">
        <v>0</v>
      </c>
      <c r="AK1130" s="23">
        <v>0</v>
      </c>
    </row>
    <row r="1131" spans="2:37" x14ac:dyDescent="0.3"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  <c r="AA1131" s="23"/>
      <c r="AB1131" s="23"/>
      <c r="AC1131" s="23"/>
      <c r="AD1131" s="23"/>
      <c r="AE1131" s="23"/>
      <c r="AF1131" s="23"/>
      <c r="AG1131" s="23"/>
      <c r="AH1131" s="23"/>
      <c r="AI1131" s="23"/>
      <c r="AJ1131" s="23">
        <v>0</v>
      </c>
      <c r="AK1131" s="23">
        <v>0</v>
      </c>
    </row>
    <row r="1132" spans="2:37" x14ac:dyDescent="0.3"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  <c r="AA1132" s="23"/>
      <c r="AB1132" s="23"/>
      <c r="AC1132" s="23"/>
      <c r="AD1132" s="23"/>
      <c r="AE1132" s="23"/>
      <c r="AF1132" s="23"/>
      <c r="AG1132" s="23"/>
      <c r="AH1132" s="23"/>
      <c r="AI1132" s="23"/>
      <c r="AJ1132" s="23">
        <v>0</v>
      </c>
      <c r="AK1132" s="23">
        <v>0</v>
      </c>
    </row>
    <row r="1133" spans="2:37" x14ac:dyDescent="0.3"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  <c r="AA1133" s="23"/>
      <c r="AB1133" s="23"/>
      <c r="AC1133" s="23"/>
      <c r="AD1133" s="23"/>
      <c r="AE1133" s="23"/>
      <c r="AF1133" s="23"/>
      <c r="AG1133" s="23"/>
      <c r="AH1133" s="23"/>
      <c r="AI1133" s="23"/>
      <c r="AJ1133" s="23">
        <v>0</v>
      </c>
      <c r="AK1133" s="23">
        <v>0</v>
      </c>
    </row>
    <row r="1134" spans="2:37" x14ac:dyDescent="0.3"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  <c r="AA1134" s="23"/>
      <c r="AB1134" s="23"/>
      <c r="AC1134" s="23"/>
      <c r="AD1134" s="23"/>
      <c r="AE1134" s="23"/>
      <c r="AF1134" s="23"/>
      <c r="AG1134" s="23"/>
      <c r="AH1134" s="23"/>
      <c r="AI1134" s="23"/>
      <c r="AJ1134" s="23">
        <v>0</v>
      </c>
      <c r="AK1134" s="23">
        <v>0</v>
      </c>
    </row>
    <row r="1135" spans="2:37" x14ac:dyDescent="0.3"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  <c r="AA1135" s="23"/>
      <c r="AB1135" s="23"/>
      <c r="AC1135" s="23"/>
      <c r="AD1135" s="23"/>
      <c r="AE1135" s="23"/>
      <c r="AF1135" s="23"/>
      <c r="AG1135" s="23"/>
      <c r="AH1135" s="23"/>
      <c r="AI1135" s="23"/>
      <c r="AJ1135" s="23">
        <v>0</v>
      </c>
      <c r="AK1135" s="23">
        <v>0</v>
      </c>
    </row>
    <row r="1136" spans="2:37" x14ac:dyDescent="0.3"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  <c r="AA1136" s="23"/>
      <c r="AB1136" s="23"/>
      <c r="AC1136" s="23"/>
      <c r="AD1136" s="23"/>
      <c r="AE1136" s="23"/>
      <c r="AF1136" s="23"/>
      <c r="AG1136" s="23"/>
      <c r="AH1136" s="23"/>
      <c r="AI1136" s="23"/>
      <c r="AJ1136" s="23">
        <v>0</v>
      </c>
      <c r="AK1136" s="23">
        <v>0</v>
      </c>
    </row>
    <row r="1137" spans="2:37" x14ac:dyDescent="0.3"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  <c r="AA1137" s="23"/>
      <c r="AB1137" s="23"/>
      <c r="AC1137" s="23"/>
      <c r="AD1137" s="23"/>
      <c r="AE1137" s="23"/>
      <c r="AF1137" s="23"/>
      <c r="AG1137" s="23"/>
      <c r="AH1137" s="23"/>
      <c r="AI1137" s="23"/>
      <c r="AJ1137" s="23">
        <v>0</v>
      </c>
      <c r="AK1137" s="23">
        <v>0</v>
      </c>
    </row>
    <row r="1138" spans="2:37" x14ac:dyDescent="0.3"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  <c r="AA1138" s="23"/>
      <c r="AB1138" s="23"/>
      <c r="AC1138" s="23"/>
      <c r="AD1138" s="23"/>
      <c r="AE1138" s="23"/>
      <c r="AF1138" s="23"/>
      <c r="AG1138" s="23"/>
      <c r="AH1138" s="23"/>
      <c r="AI1138" s="23"/>
      <c r="AJ1138" s="23">
        <v>0</v>
      </c>
      <c r="AK1138" s="23">
        <v>0</v>
      </c>
    </row>
    <row r="1139" spans="2:37" x14ac:dyDescent="0.3"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  <c r="AA1139" s="23"/>
      <c r="AB1139" s="23"/>
      <c r="AC1139" s="23"/>
      <c r="AD1139" s="23"/>
      <c r="AE1139" s="23"/>
      <c r="AF1139" s="23"/>
      <c r="AG1139" s="23"/>
      <c r="AH1139" s="23"/>
      <c r="AI1139" s="23"/>
      <c r="AJ1139" s="23">
        <v>0</v>
      </c>
      <c r="AK1139" s="23">
        <v>0</v>
      </c>
    </row>
    <row r="1140" spans="2:37" x14ac:dyDescent="0.3"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  <c r="AA1140" s="23"/>
      <c r="AB1140" s="23"/>
      <c r="AC1140" s="23"/>
      <c r="AD1140" s="23"/>
      <c r="AE1140" s="23"/>
      <c r="AF1140" s="23"/>
      <c r="AG1140" s="23"/>
      <c r="AH1140" s="23"/>
      <c r="AI1140" s="23"/>
      <c r="AJ1140" s="23">
        <v>0</v>
      </c>
      <c r="AK1140" s="23">
        <v>0</v>
      </c>
    </row>
    <row r="1141" spans="2:37" x14ac:dyDescent="0.3"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  <c r="AA1141" s="23"/>
      <c r="AB1141" s="23"/>
      <c r="AC1141" s="23"/>
      <c r="AD1141" s="23"/>
      <c r="AE1141" s="23"/>
      <c r="AF1141" s="23"/>
      <c r="AG1141" s="23"/>
      <c r="AH1141" s="23"/>
      <c r="AI1141" s="23"/>
      <c r="AJ1141" s="23">
        <v>0</v>
      </c>
      <c r="AK1141" s="23">
        <v>0</v>
      </c>
    </row>
    <row r="1142" spans="2:37" x14ac:dyDescent="0.3"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  <c r="AA1142" s="23"/>
      <c r="AB1142" s="23"/>
      <c r="AC1142" s="23"/>
      <c r="AD1142" s="23"/>
      <c r="AE1142" s="23"/>
      <c r="AF1142" s="23"/>
      <c r="AG1142" s="23"/>
      <c r="AH1142" s="23"/>
      <c r="AI1142" s="23"/>
      <c r="AJ1142" s="23">
        <v>0</v>
      </c>
      <c r="AK1142" s="23">
        <v>0</v>
      </c>
    </row>
    <row r="1143" spans="2:37" x14ac:dyDescent="0.3"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  <c r="AA1143" s="23"/>
      <c r="AB1143" s="23"/>
      <c r="AC1143" s="23"/>
      <c r="AD1143" s="23"/>
      <c r="AE1143" s="23"/>
      <c r="AF1143" s="23"/>
      <c r="AG1143" s="23"/>
      <c r="AH1143" s="23"/>
      <c r="AI1143" s="23"/>
      <c r="AJ1143" s="23">
        <v>0</v>
      </c>
      <c r="AK1143" s="23">
        <v>0</v>
      </c>
    </row>
    <row r="1144" spans="2:37" x14ac:dyDescent="0.3"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  <c r="AA1144" s="23"/>
      <c r="AB1144" s="23"/>
      <c r="AC1144" s="23"/>
      <c r="AD1144" s="23"/>
      <c r="AE1144" s="23"/>
      <c r="AF1144" s="23"/>
      <c r="AG1144" s="23"/>
      <c r="AH1144" s="23"/>
      <c r="AI1144" s="23"/>
      <c r="AJ1144" s="23">
        <v>0</v>
      </c>
      <c r="AK1144" s="23">
        <v>0</v>
      </c>
    </row>
    <row r="1145" spans="2:37" x14ac:dyDescent="0.3"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  <c r="AA1145" s="23"/>
      <c r="AB1145" s="23"/>
      <c r="AC1145" s="23"/>
      <c r="AD1145" s="23"/>
      <c r="AE1145" s="23"/>
      <c r="AF1145" s="23"/>
      <c r="AG1145" s="23"/>
      <c r="AH1145" s="23"/>
      <c r="AI1145" s="23"/>
      <c r="AJ1145" s="23">
        <v>0</v>
      </c>
      <c r="AK1145" s="23">
        <v>0</v>
      </c>
    </row>
    <row r="1146" spans="2:37" x14ac:dyDescent="0.3"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  <c r="AA1146" s="23"/>
      <c r="AB1146" s="23"/>
      <c r="AC1146" s="23"/>
      <c r="AD1146" s="23"/>
      <c r="AE1146" s="23"/>
      <c r="AF1146" s="23"/>
      <c r="AG1146" s="23"/>
      <c r="AH1146" s="23"/>
      <c r="AI1146" s="23"/>
      <c r="AJ1146" s="23">
        <v>0</v>
      </c>
      <c r="AK1146" s="23">
        <v>0</v>
      </c>
    </row>
    <row r="1147" spans="2:37" x14ac:dyDescent="0.3"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  <c r="AA1147" s="23"/>
      <c r="AB1147" s="23"/>
      <c r="AC1147" s="23"/>
      <c r="AD1147" s="23"/>
      <c r="AE1147" s="23"/>
      <c r="AF1147" s="23"/>
      <c r="AG1147" s="23"/>
      <c r="AH1147" s="23"/>
      <c r="AI1147" s="23"/>
      <c r="AJ1147" s="23">
        <v>0</v>
      </c>
      <c r="AK1147" s="23">
        <v>0</v>
      </c>
    </row>
    <row r="1148" spans="2:37" x14ac:dyDescent="0.3"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  <c r="AA1148" s="23"/>
      <c r="AB1148" s="23"/>
      <c r="AC1148" s="23"/>
      <c r="AD1148" s="23"/>
      <c r="AE1148" s="23"/>
      <c r="AF1148" s="23"/>
      <c r="AG1148" s="23"/>
      <c r="AH1148" s="23"/>
      <c r="AI1148" s="23"/>
      <c r="AJ1148" s="23">
        <v>0</v>
      </c>
      <c r="AK1148" s="23">
        <v>0</v>
      </c>
    </row>
    <row r="1149" spans="2:37" x14ac:dyDescent="0.3"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  <c r="AA1149" s="23"/>
      <c r="AB1149" s="23"/>
      <c r="AC1149" s="23"/>
      <c r="AD1149" s="23"/>
      <c r="AE1149" s="23"/>
      <c r="AF1149" s="23"/>
      <c r="AG1149" s="23"/>
      <c r="AH1149" s="23"/>
      <c r="AI1149" s="23"/>
      <c r="AJ1149" s="23">
        <v>0</v>
      </c>
      <c r="AK1149" s="23">
        <v>0</v>
      </c>
    </row>
    <row r="1150" spans="2:37" x14ac:dyDescent="0.3"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  <c r="AA1150" s="23"/>
      <c r="AB1150" s="23"/>
      <c r="AC1150" s="23"/>
      <c r="AD1150" s="23"/>
      <c r="AE1150" s="23"/>
      <c r="AF1150" s="23"/>
      <c r="AG1150" s="23"/>
      <c r="AH1150" s="23"/>
      <c r="AI1150" s="23"/>
      <c r="AJ1150" s="23">
        <v>0</v>
      </c>
      <c r="AK1150" s="23">
        <v>0</v>
      </c>
    </row>
    <row r="1151" spans="2:37" x14ac:dyDescent="0.3"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  <c r="AA1151" s="23"/>
      <c r="AB1151" s="23"/>
      <c r="AC1151" s="23"/>
      <c r="AD1151" s="23"/>
      <c r="AE1151" s="23"/>
      <c r="AF1151" s="23"/>
      <c r="AG1151" s="23"/>
      <c r="AH1151" s="23"/>
      <c r="AI1151" s="23"/>
      <c r="AJ1151" s="23">
        <v>0</v>
      </c>
      <c r="AK1151" s="23">
        <v>0</v>
      </c>
    </row>
    <row r="1152" spans="2:37" x14ac:dyDescent="0.3"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  <c r="AA1152" s="23"/>
      <c r="AB1152" s="23"/>
      <c r="AC1152" s="23"/>
      <c r="AD1152" s="23"/>
      <c r="AE1152" s="23"/>
      <c r="AF1152" s="23"/>
      <c r="AG1152" s="23"/>
      <c r="AH1152" s="23"/>
      <c r="AI1152" s="23"/>
      <c r="AJ1152" s="23">
        <v>0</v>
      </c>
      <c r="AK1152" s="23">
        <v>0</v>
      </c>
    </row>
    <row r="1153" spans="2:37" x14ac:dyDescent="0.3"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  <c r="AA1153" s="23"/>
      <c r="AB1153" s="23"/>
      <c r="AC1153" s="23"/>
      <c r="AD1153" s="23"/>
      <c r="AE1153" s="23"/>
      <c r="AF1153" s="23"/>
      <c r="AG1153" s="23"/>
      <c r="AH1153" s="23"/>
      <c r="AI1153" s="23"/>
      <c r="AJ1153" s="23">
        <v>0</v>
      </c>
      <c r="AK1153" s="23">
        <v>0</v>
      </c>
    </row>
    <row r="1154" spans="2:37" x14ac:dyDescent="0.3"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  <c r="AA1154" s="23"/>
      <c r="AB1154" s="23"/>
      <c r="AC1154" s="23"/>
      <c r="AD1154" s="23"/>
      <c r="AE1154" s="23"/>
      <c r="AF1154" s="23"/>
      <c r="AG1154" s="23"/>
      <c r="AH1154" s="23"/>
      <c r="AI1154" s="23"/>
      <c r="AJ1154" s="23">
        <v>0</v>
      </c>
      <c r="AK1154" s="23">
        <v>0</v>
      </c>
    </row>
    <row r="1155" spans="2:37" x14ac:dyDescent="0.3"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  <c r="AA1155" s="23"/>
      <c r="AB1155" s="23"/>
      <c r="AC1155" s="23"/>
      <c r="AD1155" s="23"/>
      <c r="AE1155" s="23"/>
      <c r="AF1155" s="23"/>
      <c r="AG1155" s="23"/>
      <c r="AH1155" s="23"/>
      <c r="AI1155" s="23"/>
      <c r="AJ1155" s="23">
        <v>0</v>
      </c>
      <c r="AK1155" s="23">
        <v>0</v>
      </c>
    </row>
    <row r="1156" spans="2:37" x14ac:dyDescent="0.3"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  <c r="AA1156" s="23"/>
      <c r="AB1156" s="23"/>
      <c r="AC1156" s="23"/>
      <c r="AD1156" s="23"/>
      <c r="AE1156" s="23"/>
      <c r="AF1156" s="23"/>
      <c r="AG1156" s="23"/>
      <c r="AH1156" s="23"/>
      <c r="AI1156" s="23"/>
      <c r="AJ1156" s="23">
        <v>0</v>
      </c>
      <c r="AK1156" s="23">
        <v>0</v>
      </c>
    </row>
    <row r="1157" spans="2:37" x14ac:dyDescent="0.3"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  <c r="AA1157" s="23"/>
      <c r="AB1157" s="23"/>
      <c r="AC1157" s="23"/>
      <c r="AD1157" s="23"/>
      <c r="AE1157" s="23"/>
      <c r="AF1157" s="23"/>
      <c r="AG1157" s="23"/>
      <c r="AH1157" s="23"/>
      <c r="AI1157" s="23"/>
      <c r="AJ1157" s="23">
        <v>0</v>
      </c>
      <c r="AK1157" s="23">
        <v>0</v>
      </c>
    </row>
    <row r="1158" spans="2:37" x14ac:dyDescent="0.3"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  <c r="AA1158" s="23"/>
      <c r="AB1158" s="23"/>
      <c r="AC1158" s="23"/>
      <c r="AD1158" s="23"/>
      <c r="AE1158" s="23"/>
      <c r="AF1158" s="23"/>
      <c r="AG1158" s="23"/>
      <c r="AH1158" s="23"/>
      <c r="AI1158" s="23"/>
      <c r="AJ1158" s="23">
        <v>0</v>
      </c>
      <c r="AK1158" s="23">
        <v>0</v>
      </c>
    </row>
    <row r="1159" spans="2:37" x14ac:dyDescent="0.3"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  <c r="AA1159" s="23"/>
      <c r="AB1159" s="23"/>
      <c r="AC1159" s="23"/>
      <c r="AD1159" s="23"/>
      <c r="AE1159" s="23"/>
      <c r="AF1159" s="23"/>
      <c r="AG1159" s="23"/>
      <c r="AH1159" s="23"/>
      <c r="AI1159" s="23"/>
      <c r="AJ1159" s="23">
        <v>0</v>
      </c>
      <c r="AK1159" s="23">
        <v>0</v>
      </c>
    </row>
    <row r="1160" spans="2:37" x14ac:dyDescent="0.3"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  <c r="AA1160" s="23"/>
      <c r="AB1160" s="23"/>
      <c r="AC1160" s="23"/>
      <c r="AD1160" s="23"/>
      <c r="AE1160" s="23"/>
      <c r="AF1160" s="23"/>
      <c r="AG1160" s="23"/>
      <c r="AH1160" s="23"/>
      <c r="AI1160" s="23"/>
      <c r="AJ1160" s="23">
        <v>0</v>
      </c>
      <c r="AK1160" s="23">
        <v>0</v>
      </c>
    </row>
    <row r="1161" spans="2:37" x14ac:dyDescent="0.3"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  <c r="AA1161" s="23"/>
      <c r="AB1161" s="23"/>
      <c r="AC1161" s="23"/>
      <c r="AD1161" s="23"/>
      <c r="AE1161" s="23"/>
      <c r="AF1161" s="23"/>
      <c r="AG1161" s="23"/>
      <c r="AH1161" s="23"/>
      <c r="AI1161" s="23"/>
      <c r="AJ1161" s="23">
        <v>0</v>
      </c>
      <c r="AK1161" s="23">
        <v>0</v>
      </c>
    </row>
    <row r="1162" spans="2:37" x14ac:dyDescent="0.3"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  <c r="AA1162" s="23"/>
      <c r="AB1162" s="23"/>
      <c r="AC1162" s="23"/>
      <c r="AD1162" s="23"/>
      <c r="AE1162" s="23"/>
      <c r="AF1162" s="23"/>
      <c r="AG1162" s="23"/>
      <c r="AH1162" s="23"/>
      <c r="AI1162" s="23"/>
      <c r="AJ1162" s="23">
        <v>0</v>
      </c>
      <c r="AK1162" s="23">
        <v>0</v>
      </c>
    </row>
    <row r="1163" spans="2:37" x14ac:dyDescent="0.3"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  <c r="AA1163" s="23"/>
      <c r="AB1163" s="23"/>
      <c r="AC1163" s="23"/>
      <c r="AD1163" s="23"/>
      <c r="AE1163" s="23"/>
      <c r="AF1163" s="23"/>
      <c r="AG1163" s="23"/>
      <c r="AH1163" s="23"/>
      <c r="AI1163" s="23"/>
      <c r="AJ1163" s="23">
        <v>0</v>
      </c>
      <c r="AK1163" s="23">
        <v>0</v>
      </c>
    </row>
    <row r="1164" spans="2:37" x14ac:dyDescent="0.3"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  <c r="AA1164" s="23"/>
      <c r="AB1164" s="23"/>
      <c r="AC1164" s="23"/>
      <c r="AD1164" s="23"/>
      <c r="AE1164" s="23"/>
      <c r="AF1164" s="23"/>
      <c r="AG1164" s="23"/>
      <c r="AH1164" s="23"/>
      <c r="AI1164" s="23"/>
      <c r="AJ1164" s="23">
        <v>0</v>
      </c>
      <c r="AK1164" s="23">
        <v>0</v>
      </c>
    </row>
    <row r="1165" spans="2:37" x14ac:dyDescent="0.3"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  <c r="AA1165" s="23"/>
      <c r="AB1165" s="23"/>
      <c r="AC1165" s="23"/>
      <c r="AD1165" s="23"/>
      <c r="AE1165" s="23"/>
      <c r="AF1165" s="23"/>
      <c r="AG1165" s="23"/>
      <c r="AH1165" s="23"/>
      <c r="AI1165" s="23"/>
      <c r="AJ1165" s="23">
        <v>0</v>
      </c>
      <c r="AK1165" s="23">
        <v>0</v>
      </c>
    </row>
    <row r="1166" spans="2:37" x14ac:dyDescent="0.3"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  <c r="AA1166" s="23"/>
      <c r="AB1166" s="23"/>
      <c r="AC1166" s="23"/>
      <c r="AD1166" s="23"/>
      <c r="AE1166" s="23"/>
      <c r="AF1166" s="23"/>
      <c r="AG1166" s="23"/>
      <c r="AH1166" s="23"/>
      <c r="AI1166" s="23"/>
      <c r="AJ1166" s="23">
        <v>0</v>
      </c>
      <c r="AK1166" s="23">
        <v>0</v>
      </c>
    </row>
    <row r="1167" spans="2:37" x14ac:dyDescent="0.3"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  <c r="AA1167" s="23"/>
      <c r="AB1167" s="23"/>
      <c r="AC1167" s="23"/>
      <c r="AD1167" s="23"/>
      <c r="AE1167" s="23"/>
      <c r="AF1167" s="23"/>
      <c r="AG1167" s="23"/>
      <c r="AH1167" s="23"/>
      <c r="AI1167" s="23"/>
      <c r="AJ1167" s="23">
        <v>0</v>
      </c>
      <c r="AK1167" s="23">
        <v>0</v>
      </c>
    </row>
    <row r="1168" spans="2:37" x14ac:dyDescent="0.3"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  <c r="AA1168" s="23"/>
      <c r="AB1168" s="23"/>
      <c r="AC1168" s="23"/>
      <c r="AD1168" s="23"/>
      <c r="AE1168" s="23"/>
      <c r="AF1168" s="23"/>
      <c r="AG1168" s="23"/>
      <c r="AH1168" s="23"/>
      <c r="AI1168" s="23"/>
      <c r="AJ1168" s="23">
        <v>0</v>
      </c>
      <c r="AK1168" s="23">
        <v>0</v>
      </c>
    </row>
    <row r="1169" spans="2:37" x14ac:dyDescent="0.3"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  <c r="AA1169" s="23"/>
      <c r="AB1169" s="23"/>
      <c r="AC1169" s="23"/>
      <c r="AD1169" s="23"/>
      <c r="AE1169" s="23"/>
      <c r="AF1169" s="23"/>
      <c r="AG1169" s="23"/>
      <c r="AH1169" s="23"/>
      <c r="AI1169" s="23"/>
      <c r="AJ1169" s="23">
        <v>0</v>
      </c>
      <c r="AK1169" s="23">
        <v>0</v>
      </c>
    </row>
    <row r="1170" spans="2:37" x14ac:dyDescent="0.3"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  <c r="AA1170" s="23"/>
      <c r="AB1170" s="23"/>
      <c r="AC1170" s="23"/>
      <c r="AD1170" s="23"/>
      <c r="AE1170" s="23"/>
      <c r="AF1170" s="23"/>
      <c r="AG1170" s="23"/>
      <c r="AH1170" s="23"/>
      <c r="AI1170" s="23"/>
      <c r="AJ1170" s="23">
        <v>0</v>
      </c>
      <c r="AK1170" s="23">
        <v>0</v>
      </c>
    </row>
    <row r="1171" spans="2:37" x14ac:dyDescent="0.3"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  <c r="AA1171" s="23"/>
      <c r="AB1171" s="23"/>
      <c r="AC1171" s="23"/>
      <c r="AD1171" s="23"/>
      <c r="AE1171" s="23"/>
      <c r="AF1171" s="23"/>
      <c r="AG1171" s="23"/>
      <c r="AH1171" s="23"/>
      <c r="AI1171" s="23"/>
      <c r="AJ1171" s="23">
        <v>0</v>
      </c>
      <c r="AK1171" s="23">
        <v>0</v>
      </c>
    </row>
    <row r="1172" spans="2:37" x14ac:dyDescent="0.3"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  <c r="AA1172" s="23"/>
      <c r="AB1172" s="23"/>
      <c r="AC1172" s="23"/>
      <c r="AD1172" s="23"/>
      <c r="AE1172" s="23"/>
      <c r="AF1172" s="23"/>
      <c r="AG1172" s="23"/>
      <c r="AH1172" s="23"/>
      <c r="AI1172" s="23"/>
      <c r="AJ1172" s="23">
        <v>0</v>
      </c>
      <c r="AK1172" s="23">
        <v>0</v>
      </c>
    </row>
    <row r="1173" spans="2:37" x14ac:dyDescent="0.3"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  <c r="AA1173" s="23"/>
      <c r="AB1173" s="23"/>
      <c r="AC1173" s="23"/>
      <c r="AD1173" s="23"/>
      <c r="AE1173" s="23"/>
      <c r="AF1173" s="23"/>
      <c r="AG1173" s="23"/>
      <c r="AH1173" s="23"/>
      <c r="AI1173" s="23"/>
      <c r="AJ1173" s="23">
        <v>0</v>
      </c>
      <c r="AK1173" s="23">
        <v>0</v>
      </c>
    </row>
    <row r="1174" spans="2:37" x14ac:dyDescent="0.3"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  <c r="AA1174" s="23"/>
      <c r="AB1174" s="23"/>
      <c r="AC1174" s="23"/>
      <c r="AD1174" s="23"/>
      <c r="AE1174" s="23"/>
      <c r="AF1174" s="23"/>
      <c r="AG1174" s="23"/>
      <c r="AH1174" s="23"/>
      <c r="AI1174" s="23"/>
      <c r="AJ1174" s="23">
        <v>0</v>
      </c>
      <c r="AK1174" s="23">
        <v>0</v>
      </c>
    </row>
    <row r="1175" spans="2:37" x14ac:dyDescent="0.3"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  <c r="AA1175" s="23"/>
      <c r="AB1175" s="23"/>
      <c r="AC1175" s="23"/>
      <c r="AD1175" s="23"/>
      <c r="AE1175" s="23"/>
      <c r="AF1175" s="23"/>
      <c r="AG1175" s="23"/>
      <c r="AH1175" s="23"/>
      <c r="AI1175" s="23"/>
      <c r="AJ1175" s="23">
        <v>0</v>
      </c>
      <c r="AK1175" s="23">
        <v>0</v>
      </c>
    </row>
    <row r="1176" spans="2:37" x14ac:dyDescent="0.3"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  <c r="AA1176" s="23"/>
      <c r="AB1176" s="23"/>
      <c r="AC1176" s="23"/>
      <c r="AD1176" s="23"/>
      <c r="AE1176" s="23"/>
      <c r="AF1176" s="23"/>
      <c r="AG1176" s="23"/>
      <c r="AH1176" s="23"/>
      <c r="AI1176" s="23"/>
      <c r="AJ1176" s="23">
        <v>0</v>
      </c>
      <c r="AK1176" s="23">
        <v>0</v>
      </c>
    </row>
    <row r="1177" spans="2:37" x14ac:dyDescent="0.3"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  <c r="AA1177" s="23"/>
      <c r="AB1177" s="23"/>
      <c r="AC1177" s="23"/>
      <c r="AD1177" s="23"/>
      <c r="AE1177" s="23"/>
      <c r="AF1177" s="23"/>
      <c r="AG1177" s="23"/>
      <c r="AH1177" s="23"/>
      <c r="AI1177" s="23"/>
      <c r="AJ1177" s="23">
        <v>0</v>
      </c>
      <c r="AK1177" s="23">
        <v>0</v>
      </c>
    </row>
    <row r="1178" spans="2:37" x14ac:dyDescent="0.3"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  <c r="AA1178" s="23"/>
      <c r="AB1178" s="23"/>
      <c r="AC1178" s="23"/>
      <c r="AD1178" s="23"/>
      <c r="AE1178" s="23"/>
      <c r="AF1178" s="23"/>
      <c r="AG1178" s="23"/>
      <c r="AH1178" s="23"/>
      <c r="AI1178" s="23"/>
      <c r="AJ1178" s="23">
        <v>0</v>
      </c>
      <c r="AK1178" s="23">
        <v>0</v>
      </c>
    </row>
    <row r="1179" spans="2:37" x14ac:dyDescent="0.3"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  <c r="AA1179" s="23"/>
      <c r="AB1179" s="23"/>
      <c r="AC1179" s="23"/>
      <c r="AD1179" s="23"/>
      <c r="AE1179" s="23"/>
      <c r="AF1179" s="23"/>
      <c r="AG1179" s="23"/>
      <c r="AH1179" s="23"/>
      <c r="AI1179" s="23"/>
      <c r="AJ1179" s="23">
        <v>0</v>
      </c>
      <c r="AK1179" s="23">
        <v>0</v>
      </c>
    </row>
    <row r="1180" spans="2:37" x14ac:dyDescent="0.3"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  <c r="AA1180" s="23"/>
      <c r="AB1180" s="23"/>
      <c r="AC1180" s="23"/>
      <c r="AD1180" s="23"/>
      <c r="AE1180" s="23"/>
      <c r="AF1180" s="23"/>
      <c r="AG1180" s="23"/>
      <c r="AH1180" s="23"/>
      <c r="AI1180" s="23"/>
      <c r="AJ1180" s="23">
        <v>0</v>
      </c>
      <c r="AK1180" s="23">
        <v>0</v>
      </c>
    </row>
    <row r="1181" spans="2:37" x14ac:dyDescent="0.3"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  <c r="AA1181" s="23"/>
      <c r="AB1181" s="23"/>
      <c r="AC1181" s="23"/>
      <c r="AD1181" s="23"/>
      <c r="AE1181" s="23"/>
      <c r="AF1181" s="23"/>
      <c r="AG1181" s="23"/>
      <c r="AH1181" s="23"/>
      <c r="AI1181" s="23"/>
      <c r="AJ1181" s="23">
        <v>0</v>
      </c>
      <c r="AK1181" s="23">
        <v>0</v>
      </c>
    </row>
    <row r="1182" spans="2:37" x14ac:dyDescent="0.3"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  <c r="AA1182" s="23"/>
      <c r="AB1182" s="23"/>
      <c r="AC1182" s="23"/>
      <c r="AD1182" s="23"/>
      <c r="AE1182" s="23"/>
      <c r="AF1182" s="23"/>
      <c r="AG1182" s="23"/>
      <c r="AH1182" s="23"/>
      <c r="AI1182" s="23"/>
      <c r="AJ1182" s="23">
        <v>0</v>
      </c>
      <c r="AK1182" s="23">
        <v>0</v>
      </c>
    </row>
    <row r="1183" spans="2:37" x14ac:dyDescent="0.3"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  <c r="AA1183" s="23"/>
      <c r="AB1183" s="23"/>
      <c r="AC1183" s="23"/>
      <c r="AD1183" s="23"/>
      <c r="AE1183" s="23"/>
      <c r="AF1183" s="23"/>
      <c r="AG1183" s="23"/>
      <c r="AH1183" s="23"/>
      <c r="AI1183" s="23"/>
      <c r="AJ1183" s="23">
        <v>0</v>
      </c>
      <c r="AK1183" s="23">
        <v>0</v>
      </c>
    </row>
    <row r="1184" spans="2:37" x14ac:dyDescent="0.3"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  <c r="AA1184" s="23"/>
      <c r="AB1184" s="23"/>
      <c r="AC1184" s="23"/>
      <c r="AD1184" s="23"/>
      <c r="AE1184" s="23"/>
      <c r="AF1184" s="23"/>
      <c r="AG1184" s="23"/>
      <c r="AH1184" s="23"/>
      <c r="AI1184" s="23"/>
      <c r="AJ1184" s="23">
        <v>0</v>
      </c>
      <c r="AK1184" s="23">
        <v>0</v>
      </c>
    </row>
    <row r="1185" spans="2:37" x14ac:dyDescent="0.3"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  <c r="AA1185" s="23"/>
      <c r="AB1185" s="23"/>
      <c r="AC1185" s="23"/>
      <c r="AD1185" s="23"/>
      <c r="AE1185" s="23"/>
      <c r="AF1185" s="23"/>
      <c r="AG1185" s="23"/>
      <c r="AH1185" s="23"/>
      <c r="AI1185" s="23"/>
      <c r="AJ1185" s="23">
        <v>0</v>
      </c>
      <c r="AK1185" s="23">
        <v>0</v>
      </c>
    </row>
    <row r="1186" spans="2:37" x14ac:dyDescent="0.3"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  <c r="AA1186" s="23"/>
      <c r="AB1186" s="23"/>
      <c r="AC1186" s="23"/>
      <c r="AD1186" s="23"/>
      <c r="AE1186" s="23"/>
      <c r="AF1186" s="23"/>
      <c r="AG1186" s="23"/>
      <c r="AH1186" s="23"/>
      <c r="AI1186" s="23"/>
      <c r="AJ1186" s="23">
        <v>0</v>
      </c>
      <c r="AK1186" s="23">
        <v>0</v>
      </c>
    </row>
    <row r="1187" spans="2:37" x14ac:dyDescent="0.3"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  <c r="AA1187" s="23"/>
      <c r="AB1187" s="23"/>
      <c r="AC1187" s="23"/>
      <c r="AD1187" s="23"/>
      <c r="AE1187" s="23"/>
      <c r="AF1187" s="23"/>
      <c r="AG1187" s="23"/>
      <c r="AH1187" s="23"/>
      <c r="AI1187" s="23"/>
      <c r="AJ1187" s="23">
        <v>0</v>
      </c>
      <c r="AK1187" s="23">
        <v>0</v>
      </c>
    </row>
    <row r="1188" spans="2:37" x14ac:dyDescent="0.3"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  <c r="AA1188" s="23"/>
      <c r="AB1188" s="23"/>
      <c r="AC1188" s="23"/>
      <c r="AD1188" s="23"/>
      <c r="AE1188" s="23"/>
      <c r="AF1188" s="23"/>
      <c r="AG1188" s="23"/>
      <c r="AH1188" s="23"/>
      <c r="AI1188" s="23"/>
      <c r="AJ1188" s="23">
        <v>0</v>
      </c>
      <c r="AK1188" s="23">
        <v>0</v>
      </c>
    </row>
    <row r="1189" spans="2:37" x14ac:dyDescent="0.3"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  <c r="AA1189" s="23"/>
      <c r="AB1189" s="23"/>
      <c r="AC1189" s="23"/>
      <c r="AD1189" s="23"/>
      <c r="AE1189" s="23"/>
      <c r="AF1189" s="23"/>
      <c r="AG1189" s="23"/>
      <c r="AH1189" s="23"/>
      <c r="AI1189" s="23"/>
      <c r="AJ1189" s="23">
        <v>0</v>
      </c>
      <c r="AK1189" s="23">
        <v>0</v>
      </c>
    </row>
    <row r="1190" spans="2:37" x14ac:dyDescent="0.3"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  <c r="AA1190" s="23"/>
      <c r="AB1190" s="23"/>
      <c r="AC1190" s="23"/>
      <c r="AD1190" s="23"/>
      <c r="AE1190" s="23"/>
      <c r="AF1190" s="23"/>
      <c r="AG1190" s="23"/>
      <c r="AH1190" s="23"/>
      <c r="AI1190" s="23"/>
      <c r="AJ1190" s="23">
        <v>0</v>
      </c>
      <c r="AK1190" s="23">
        <v>0</v>
      </c>
    </row>
    <row r="1191" spans="2:37" x14ac:dyDescent="0.3"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  <c r="AA1191" s="23"/>
      <c r="AB1191" s="23"/>
      <c r="AC1191" s="23"/>
      <c r="AD1191" s="23"/>
      <c r="AE1191" s="23"/>
      <c r="AF1191" s="23"/>
      <c r="AG1191" s="23"/>
      <c r="AH1191" s="23"/>
      <c r="AI1191" s="23"/>
      <c r="AJ1191" s="23">
        <v>0</v>
      </c>
      <c r="AK1191" s="23">
        <v>0</v>
      </c>
    </row>
    <row r="1192" spans="2:37" x14ac:dyDescent="0.3"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  <c r="AA1192" s="23"/>
      <c r="AB1192" s="23"/>
      <c r="AC1192" s="23"/>
      <c r="AD1192" s="23"/>
      <c r="AE1192" s="23"/>
      <c r="AF1192" s="23"/>
      <c r="AG1192" s="23"/>
      <c r="AH1192" s="23"/>
      <c r="AI1192" s="23"/>
      <c r="AJ1192" s="23">
        <v>0</v>
      </c>
      <c r="AK1192" s="23">
        <v>0</v>
      </c>
    </row>
    <row r="1193" spans="2:37" x14ac:dyDescent="0.3"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  <c r="AA1193" s="23"/>
      <c r="AB1193" s="23"/>
      <c r="AC1193" s="23"/>
      <c r="AD1193" s="23"/>
      <c r="AE1193" s="23"/>
      <c r="AF1193" s="23"/>
      <c r="AG1193" s="23"/>
      <c r="AH1193" s="23"/>
      <c r="AI1193" s="23"/>
      <c r="AJ1193" s="23">
        <v>0</v>
      </c>
      <c r="AK1193" s="23">
        <v>0</v>
      </c>
    </row>
    <row r="1194" spans="2:37" x14ac:dyDescent="0.3"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  <c r="AA1194" s="23"/>
      <c r="AB1194" s="23"/>
      <c r="AC1194" s="23"/>
      <c r="AD1194" s="23"/>
      <c r="AE1194" s="23"/>
      <c r="AF1194" s="23"/>
      <c r="AG1194" s="23"/>
      <c r="AH1194" s="23"/>
      <c r="AI1194" s="23"/>
      <c r="AJ1194" s="23">
        <v>0</v>
      </c>
      <c r="AK1194" s="23">
        <v>0</v>
      </c>
    </row>
    <row r="1195" spans="2:37" x14ac:dyDescent="0.3"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  <c r="AA1195" s="23"/>
      <c r="AB1195" s="23"/>
      <c r="AC1195" s="23"/>
      <c r="AD1195" s="23"/>
      <c r="AE1195" s="23"/>
      <c r="AF1195" s="23"/>
      <c r="AG1195" s="23"/>
      <c r="AH1195" s="23"/>
      <c r="AI1195" s="23"/>
      <c r="AJ1195" s="23">
        <v>0</v>
      </c>
      <c r="AK1195" s="23">
        <v>0</v>
      </c>
    </row>
    <row r="1196" spans="2:37" x14ac:dyDescent="0.3"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  <c r="AA1196" s="23"/>
      <c r="AB1196" s="23"/>
      <c r="AC1196" s="23"/>
      <c r="AD1196" s="23"/>
      <c r="AE1196" s="23"/>
      <c r="AF1196" s="23"/>
      <c r="AG1196" s="23"/>
      <c r="AH1196" s="23"/>
      <c r="AI1196" s="23"/>
      <c r="AJ1196" s="23">
        <v>0</v>
      </c>
      <c r="AK1196" s="23">
        <v>0</v>
      </c>
    </row>
    <row r="1197" spans="2:37" x14ac:dyDescent="0.3"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  <c r="AA1197" s="23"/>
      <c r="AB1197" s="23"/>
      <c r="AC1197" s="23"/>
      <c r="AD1197" s="23"/>
      <c r="AE1197" s="23"/>
      <c r="AF1197" s="23"/>
      <c r="AG1197" s="23"/>
      <c r="AH1197" s="23"/>
      <c r="AI1197" s="23"/>
      <c r="AJ1197" s="23">
        <v>0</v>
      </c>
      <c r="AK1197" s="23">
        <v>0</v>
      </c>
    </row>
    <row r="1198" spans="2:37" x14ac:dyDescent="0.3"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  <c r="AA1198" s="23"/>
      <c r="AB1198" s="23"/>
      <c r="AC1198" s="23"/>
      <c r="AD1198" s="23"/>
      <c r="AE1198" s="23"/>
      <c r="AF1198" s="23"/>
      <c r="AG1198" s="23"/>
      <c r="AH1198" s="23"/>
      <c r="AI1198" s="23"/>
      <c r="AJ1198" s="23">
        <v>0</v>
      </c>
      <c r="AK1198" s="23">
        <v>0</v>
      </c>
    </row>
    <row r="1199" spans="2:37" x14ac:dyDescent="0.3"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  <c r="AA1199" s="23"/>
      <c r="AB1199" s="23"/>
      <c r="AC1199" s="23"/>
      <c r="AD1199" s="23"/>
      <c r="AE1199" s="23"/>
      <c r="AF1199" s="23"/>
      <c r="AG1199" s="23"/>
      <c r="AH1199" s="23"/>
      <c r="AI1199" s="23"/>
      <c r="AJ1199" s="23">
        <v>0</v>
      </c>
      <c r="AK1199" s="23">
        <v>0</v>
      </c>
    </row>
    <row r="1200" spans="2:37" x14ac:dyDescent="0.3"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  <c r="AA1200" s="23"/>
      <c r="AB1200" s="23"/>
      <c r="AC1200" s="23"/>
      <c r="AD1200" s="23"/>
      <c r="AE1200" s="23"/>
      <c r="AF1200" s="23"/>
      <c r="AG1200" s="23"/>
      <c r="AH1200" s="23"/>
      <c r="AI1200" s="23"/>
      <c r="AJ1200" s="23">
        <v>0</v>
      </c>
      <c r="AK1200" s="23">
        <v>0</v>
      </c>
    </row>
    <row r="1201" spans="2:37" x14ac:dyDescent="0.3"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  <c r="AA1201" s="23"/>
      <c r="AB1201" s="23"/>
      <c r="AC1201" s="23"/>
      <c r="AD1201" s="23"/>
      <c r="AE1201" s="23"/>
      <c r="AF1201" s="23"/>
      <c r="AG1201" s="23"/>
      <c r="AH1201" s="23"/>
      <c r="AI1201" s="23"/>
      <c r="AJ1201" s="23">
        <v>0</v>
      </c>
      <c r="AK1201" s="23">
        <v>0</v>
      </c>
    </row>
    <row r="1202" spans="2:37" x14ac:dyDescent="0.3"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  <c r="AA1202" s="23"/>
      <c r="AB1202" s="23"/>
      <c r="AC1202" s="23"/>
      <c r="AD1202" s="23"/>
      <c r="AE1202" s="23"/>
      <c r="AF1202" s="23"/>
      <c r="AG1202" s="23"/>
      <c r="AH1202" s="23"/>
      <c r="AI1202" s="23"/>
      <c r="AJ1202" s="23">
        <v>0</v>
      </c>
      <c r="AK1202" s="23">
        <v>0</v>
      </c>
    </row>
    <row r="1203" spans="2:37" x14ac:dyDescent="0.3"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  <c r="AA1203" s="23"/>
      <c r="AB1203" s="23"/>
      <c r="AC1203" s="23"/>
      <c r="AD1203" s="23"/>
      <c r="AE1203" s="23"/>
      <c r="AF1203" s="23"/>
      <c r="AG1203" s="23"/>
      <c r="AH1203" s="23"/>
      <c r="AI1203" s="23"/>
      <c r="AJ1203" s="23">
        <v>0</v>
      </c>
      <c r="AK1203" s="23">
        <v>0</v>
      </c>
    </row>
    <row r="1204" spans="2:37" x14ac:dyDescent="0.3"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  <c r="AA1204" s="23"/>
      <c r="AB1204" s="23"/>
      <c r="AC1204" s="23"/>
      <c r="AD1204" s="23"/>
      <c r="AE1204" s="23"/>
      <c r="AF1204" s="23"/>
      <c r="AG1204" s="23"/>
      <c r="AH1204" s="23"/>
      <c r="AI1204" s="23"/>
      <c r="AJ1204" s="23">
        <v>0</v>
      </c>
      <c r="AK1204" s="23">
        <v>0</v>
      </c>
    </row>
    <row r="1205" spans="2:37" x14ac:dyDescent="0.3"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  <c r="AA1205" s="23"/>
      <c r="AB1205" s="23"/>
      <c r="AC1205" s="23"/>
      <c r="AD1205" s="23"/>
      <c r="AE1205" s="23"/>
      <c r="AF1205" s="23"/>
      <c r="AG1205" s="23"/>
      <c r="AH1205" s="23"/>
      <c r="AI1205" s="23"/>
      <c r="AJ1205" s="23">
        <v>0</v>
      </c>
      <c r="AK1205" s="23">
        <v>0</v>
      </c>
    </row>
    <row r="1206" spans="2:37" x14ac:dyDescent="0.3"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  <c r="AA1206" s="23"/>
      <c r="AB1206" s="23"/>
      <c r="AC1206" s="23"/>
      <c r="AD1206" s="23"/>
      <c r="AE1206" s="23"/>
      <c r="AF1206" s="23"/>
      <c r="AG1206" s="23"/>
      <c r="AH1206" s="23"/>
      <c r="AI1206" s="23"/>
      <c r="AJ1206" s="23">
        <v>0</v>
      </c>
      <c r="AK1206" s="23">
        <v>0</v>
      </c>
    </row>
    <row r="1207" spans="2:37" x14ac:dyDescent="0.3"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  <c r="AA1207" s="23"/>
      <c r="AB1207" s="23"/>
      <c r="AC1207" s="23"/>
      <c r="AD1207" s="23"/>
      <c r="AE1207" s="23"/>
      <c r="AF1207" s="23"/>
      <c r="AG1207" s="23"/>
      <c r="AH1207" s="23"/>
      <c r="AI1207" s="23"/>
      <c r="AJ1207" s="23">
        <v>0</v>
      </c>
      <c r="AK1207" s="23">
        <v>0</v>
      </c>
    </row>
    <row r="1208" spans="2:37" x14ac:dyDescent="0.3"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  <c r="AA1208" s="23"/>
      <c r="AB1208" s="23"/>
      <c r="AC1208" s="23"/>
      <c r="AD1208" s="23"/>
      <c r="AE1208" s="23"/>
      <c r="AF1208" s="23"/>
      <c r="AG1208" s="23"/>
      <c r="AH1208" s="23"/>
      <c r="AI1208" s="23"/>
      <c r="AJ1208" s="23">
        <v>0</v>
      </c>
      <c r="AK1208" s="23">
        <v>0</v>
      </c>
    </row>
    <row r="1209" spans="2:37" x14ac:dyDescent="0.3"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  <c r="AA1209" s="23"/>
      <c r="AB1209" s="23"/>
      <c r="AC1209" s="23"/>
      <c r="AD1209" s="23"/>
      <c r="AE1209" s="23"/>
      <c r="AF1209" s="23"/>
      <c r="AG1209" s="23"/>
      <c r="AH1209" s="23"/>
      <c r="AI1209" s="23"/>
      <c r="AJ1209" s="23">
        <v>0</v>
      </c>
      <c r="AK1209" s="23">
        <v>0</v>
      </c>
    </row>
    <row r="1210" spans="2:37" x14ac:dyDescent="0.3"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  <c r="AA1210" s="23"/>
      <c r="AB1210" s="23"/>
      <c r="AC1210" s="23"/>
      <c r="AD1210" s="23"/>
      <c r="AE1210" s="23"/>
      <c r="AF1210" s="23"/>
      <c r="AG1210" s="23"/>
      <c r="AH1210" s="23"/>
      <c r="AI1210" s="23"/>
      <c r="AJ1210" s="23">
        <v>0</v>
      </c>
      <c r="AK1210" s="23">
        <v>0</v>
      </c>
    </row>
    <row r="1211" spans="2:37" x14ac:dyDescent="0.3"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  <c r="AA1211" s="23"/>
      <c r="AB1211" s="23"/>
      <c r="AC1211" s="23"/>
      <c r="AD1211" s="23"/>
      <c r="AE1211" s="23"/>
      <c r="AF1211" s="23"/>
      <c r="AG1211" s="23"/>
      <c r="AH1211" s="23"/>
      <c r="AI1211" s="23"/>
      <c r="AJ1211" s="23">
        <v>0</v>
      </c>
      <c r="AK1211" s="23">
        <v>0</v>
      </c>
    </row>
    <row r="1212" spans="2:37" x14ac:dyDescent="0.3"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  <c r="AA1212" s="23"/>
      <c r="AB1212" s="23"/>
      <c r="AC1212" s="23"/>
      <c r="AD1212" s="23"/>
      <c r="AE1212" s="23"/>
      <c r="AF1212" s="23"/>
      <c r="AG1212" s="23"/>
      <c r="AH1212" s="23"/>
      <c r="AI1212" s="23"/>
      <c r="AJ1212" s="23">
        <v>0</v>
      </c>
      <c r="AK1212" s="23">
        <v>0</v>
      </c>
    </row>
    <row r="1213" spans="2:37" x14ac:dyDescent="0.3"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  <c r="AA1213" s="23"/>
      <c r="AB1213" s="23"/>
      <c r="AC1213" s="23"/>
      <c r="AD1213" s="23"/>
      <c r="AE1213" s="23"/>
      <c r="AF1213" s="23"/>
      <c r="AG1213" s="23"/>
      <c r="AH1213" s="23"/>
      <c r="AI1213" s="23"/>
      <c r="AJ1213" s="23">
        <v>0</v>
      </c>
      <c r="AK1213" s="23">
        <v>0</v>
      </c>
    </row>
    <row r="1214" spans="2:37" x14ac:dyDescent="0.3"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  <c r="AA1214" s="23"/>
      <c r="AB1214" s="23"/>
      <c r="AC1214" s="23"/>
      <c r="AD1214" s="23"/>
      <c r="AE1214" s="23"/>
      <c r="AF1214" s="23"/>
      <c r="AG1214" s="23"/>
      <c r="AH1214" s="23"/>
      <c r="AI1214" s="23"/>
      <c r="AJ1214" s="23">
        <v>0</v>
      </c>
      <c r="AK1214" s="23">
        <v>0</v>
      </c>
    </row>
    <row r="1215" spans="2:37" x14ac:dyDescent="0.3"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  <c r="AA1215" s="23"/>
      <c r="AB1215" s="23"/>
      <c r="AC1215" s="23"/>
      <c r="AD1215" s="23"/>
      <c r="AE1215" s="23"/>
      <c r="AF1215" s="23"/>
      <c r="AG1215" s="23"/>
      <c r="AH1215" s="23"/>
      <c r="AI1215" s="23"/>
      <c r="AJ1215" s="23">
        <v>0</v>
      </c>
      <c r="AK1215" s="23">
        <v>0</v>
      </c>
    </row>
    <row r="1216" spans="2:37" x14ac:dyDescent="0.3"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  <c r="AA1216" s="23"/>
      <c r="AB1216" s="23"/>
      <c r="AC1216" s="23"/>
      <c r="AD1216" s="23"/>
      <c r="AE1216" s="23"/>
      <c r="AF1216" s="23"/>
      <c r="AG1216" s="23"/>
      <c r="AH1216" s="23"/>
      <c r="AI1216" s="23"/>
      <c r="AJ1216" s="23">
        <v>0</v>
      </c>
      <c r="AK1216" s="23">
        <v>0</v>
      </c>
    </row>
    <row r="1217" spans="2:37" x14ac:dyDescent="0.3"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  <c r="AA1217" s="23"/>
      <c r="AB1217" s="23"/>
      <c r="AC1217" s="23"/>
      <c r="AD1217" s="23"/>
      <c r="AE1217" s="23"/>
      <c r="AF1217" s="23"/>
      <c r="AG1217" s="23"/>
      <c r="AH1217" s="23"/>
      <c r="AI1217" s="23"/>
      <c r="AJ1217" s="23">
        <v>0</v>
      </c>
      <c r="AK1217" s="23">
        <v>0</v>
      </c>
    </row>
    <row r="1218" spans="2:37" x14ac:dyDescent="0.3"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  <c r="AA1218" s="23"/>
      <c r="AB1218" s="23"/>
      <c r="AC1218" s="23"/>
      <c r="AD1218" s="23"/>
      <c r="AE1218" s="23"/>
      <c r="AF1218" s="23"/>
      <c r="AG1218" s="23"/>
      <c r="AH1218" s="23"/>
      <c r="AI1218" s="23"/>
      <c r="AJ1218" s="23">
        <v>0</v>
      </c>
      <c r="AK1218" s="23">
        <v>0</v>
      </c>
    </row>
    <row r="1219" spans="2:37" x14ac:dyDescent="0.3"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  <c r="AA1219" s="23"/>
      <c r="AB1219" s="23"/>
      <c r="AC1219" s="23"/>
      <c r="AD1219" s="23"/>
      <c r="AE1219" s="23"/>
      <c r="AF1219" s="23"/>
      <c r="AG1219" s="23"/>
      <c r="AH1219" s="23"/>
      <c r="AI1219" s="23"/>
      <c r="AJ1219" s="23">
        <v>0</v>
      </c>
      <c r="AK1219" s="23">
        <v>0</v>
      </c>
    </row>
    <row r="1220" spans="2:37" x14ac:dyDescent="0.3"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  <c r="AA1220" s="23"/>
      <c r="AB1220" s="23"/>
      <c r="AC1220" s="23"/>
      <c r="AD1220" s="23"/>
      <c r="AE1220" s="23"/>
      <c r="AF1220" s="23"/>
      <c r="AG1220" s="23"/>
      <c r="AH1220" s="23"/>
      <c r="AI1220" s="23"/>
      <c r="AJ1220" s="23">
        <v>0</v>
      </c>
      <c r="AK1220" s="23">
        <v>0</v>
      </c>
    </row>
    <row r="1221" spans="2:37" x14ac:dyDescent="0.3"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  <c r="AA1221" s="23"/>
      <c r="AB1221" s="23"/>
      <c r="AC1221" s="23"/>
      <c r="AD1221" s="23"/>
      <c r="AE1221" s="23"/>
      <c r="AF1221" s="23"/>
      <c r="AG1221" s="23"/>
      <c r="AH1221" s="23"/>
      <c r="AI1221" s="23"/>
      <c r="AJ1221" s="23">
        <v>0</v>
      </c>
      <c r="AK1221" s="23">
        <v>0</v>
      </c>
    </row>
    <row r="1222" spans="2:37" x14ac:dyDescent="0.3"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  <c r="AA1222" s="23"/>
      <c r="AB1222" s="23"/>
      <c r="AC1222" s="23"/>
      <c r="AD1222" s="23"/>
      <c r="AE1222" s="23"/>
      <c r="AF1222" s="23"/>
      <c r="AG1222" s="23"/>
      <c r="AH1222" s="23"/>
      <c r="AI1222" s="23"/>
      <c r="AJ1222" s="23">
        <v>0</v>
      </c>
      <c r="AK1222" s="23">
        <v>0</v>
      </c>
    </row>
    <row r="1223" spans="2:37" x14ac:dyDescent="0.3"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  <c r="AA1223" s="23"/>
      <c r="AB1223" s="23"/>
      <c r="AC1223" s="23"/>
      <c r="AD1223" s="23"/>
      <c r="AE1223" s="23"/>
      <c r="AF1223" s="23"/>
      <c r="AG1223" s="23"/>
      <c r="AH1223" s="23"/>
      <c r="AI1223" s="23"/>
      <c r="AJ1223" s="23">
        <v>0</v>
      </c>
      <c r="AK1223" s="23">
        <v>0</v>
      </c>
    </row>
    <row r="1224" spans="2:37" x14ac:dyDescent="0.3"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  <c r="AA1224" s="23"/>
      <c r="AB1224" s="23"/>
      <c r="AC1224" s="23"/>
      <c r="AD1224" s="23"/>
      <c r="AE1224" s="23"/>
      <c r="AF1224" s="23"/>
      <c r="AG1224" s="23"/>
      <c r="AH1224" s="23"/>
      <c r="AI1224" s="23"/>
      <c r="AJ1224" s="23">
        <v>0</v>
      </c>
      <c r="AK1224" s="23">
        <v>0</v>
      </c>
    </row>
    <row r="1225" spans="2:37" x14ac:dyDescent="0.3"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  <c r="AA1225" s="23"/>
      <c r="AB1225" s="23"/>
      <c r="AC1225" s="23"/>
      <c r="AD1225" s="23"/>
      <c r="AE1225" s="23"/>
      <c r="AF1225" s="23"/>
      <c r="AG1225" s="23"/>
      <c r="AH1225" s="23"/>
      <c r="AI1225" s="23"/>
      <c r="AJ1225" s="23">
        <v>0</v>
      </c>
      <c r="AK1225" s="23">
        <v>0</v>
      </c>
    </row>
    <row r="1226" spans="2:37" x14ac:dyDescent="0.3"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  <c r="AA1226" s="23"/>
      <c r="AB1226" s="23"/>
      <c r="AC1226" s="23"/>
      <c r="AD1226" s="23"/>
      <c r="AE1226" s="23"/>
      <c r="AF1226" s="23"/>
      <c r="AG1226" s="23"/>
      <c r="AH1226" s="23"/>
      <c r="AI1226" s="23"/>
      <c r="AJ1226" s="23">
        <v>0</v>
      </c>
      <c r="AK1226" s="23">
        <v>0</v>
      </c>
    </row>
    <row r="1227" spans="2:37" x14ac:dyDescent="0.3"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  <c r="AA1227" s="23"/>
      <c r="AB1227" s="23"/>
      <c r="AC1227" s="23"/>
      <c r="AD1227" s="23"/>
      <c r="AE1227" s="23"/>
      <c r="AF1227" s="23"/>
      <c r="AG1227" s="23"/>
      <c r="AH1227" s="23"/>
      <c r="AI1227" s="23"/>
      <c r="AJ1227" s="23">
        <v>0</v>
      </c>
      <c r="AK1227" s="23">
        <v>0</v>
      </c>
    </row>
    <row r="1228" spans="2:37" x14ac:dyDescent="0.3"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  <c r="AA1228" s="23"/>
      <c r="AB1228" s="23"/>
      <c r="AC1228" s="23"/>
      <c r="AD1228" s="23"/>
      <c r="AE1228" s="23"/>
      <c r="AF1228" s="23"/>
      <c r="AG1228" s="23"/>
      <c r="AH1228" s="23"/>
      <c r="AI1228" s="23"/>
      <c r="AJ1228" s="23">
        <v>0</v>
      </c>
      <c r="AK1228" s="23">
        <v>0</v>
      </c>
    </row>
    <row r="1229" spans="2:37" x14ac:dyDescent="0.3"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  <c r="AA1229" s="23"/>
      <c r="AB1229" s="23"/>
      <c r="AC1229" s="23"/>
      <c r="AD1229" s="23"/>
      <c r="AE1229" s="23"/>
      <c r="AF1229" s="23"/>
      <c r="AG1229" s="23"/>
      <c r="AH1229" s="23"/>
      <c r="AI1229" s="23"/>
      <c r="AJ1229" s="23">
        <v>0</v>
      </c>
      <c r="AK1229" s="23">
        <v>0</v>
      </c>
    </row>
    <row r="1230" spans="2:37" x14ac:dyDescent="0.3"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  <c r="AA1230" s="23"/>
      <c r="AB1230" s="23"/>
      <c r="AC1230" s="23"/>
      <c r="AD1230" s="23"/>
      <c r="AE1230" s="23"/>
      <c r="AF1230" s="23"/>
      <c r="AG1230" s="23"/>
      <c r="AH1230" s="23"/>
      <c r="AI1230" s="23"/>
      <c r="AJ1230" s="23">
        <v>0</v>
      </c>
      <c r="AK1230" s="23">
        <v>0</v>
      </c>
    </row>
    <row r="1231" spans="2:37" x14ac:dyDescent="0.3"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  <c r="AA1231" s="23"/>
      <c r="AB1231" s="23"/>
      <c r="AC1231" s="23"/>
      <c r="AD1231" s="23"/>
      <c r="AE1231" s="23"/>
      <c r="AF1231" s="23"/>
      <c r="AG1231" s="23"/>
      <c r="AH1231" s="23"/>
      <c r="AI1231" s="23"/>
      <c r="AJ1231" s="23">
        <v>0</v>
      </c>
      <c r="AK1231" s="23">
        <v>0</v>
      </c>
    </row>
    <row r="1232" spans="2:37" x14ac:dyDescent="0.3"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  <c r="AA1232" s="23"/>
      <c r="AB1232" s="23"/>
      <c r="AC1232" s="23"/>
      <c r="AD1232" s="23"/>
      <c r="AE1232" s="23"/>
      <c r="AF1232" s="23"/>
      <c r="AG1232" s="23"/>
      <c r="AH1232" s="23"/>
      <c r="AI1232" s="23"/>
      <c r="AJ1232" s="23">
        <v>0</v>
      </c>
      <c r="AK1232" s="23">
        <v>0</v>
      </c>
    </row>
    <row r="1233" spans="2:37" x14ac:dyDescent="0.3"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  <c r="AA1233" s="23"/>
      <c r="AB1233" s="23"/>
      <c r="AC1233" s="23"/>
      <c r="AD1233" s="23"/>
      <c r="AE1233" s="23"/>
      <c r="AF1233" s="23"/>
      <c r="AG1233" s="23"/>
      <c r="AH1233" s="23"/>
      <c r="AI1233" s="23"/>
      <c r="AJ1233" s="23">
        <v>0</v>
      </c>
      <c r="AK1233" s="23">
        <v>0</v>
      </c>
    </row>
    <row r="1234" spans="2:37" x14ac:dyDescent="0.3"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  <c r="AA1234" s="23"/>
      <c r="AB1234" s="23"/>
      <c r="AC1234" s="23"/>
      <c r="AD1234" s="23"/>
      <c r="AE1234" s="23"/>
      <c r="AF1234" s="23"/>
      <c r="AG1234" s="23"/>
      <c r="AH1234" s="23"/>
      <c r="AI1234" s="23"/>
      <c r="AJ1234" s="23">
        <v>0</v>
      </c>
      <c r="AK1234" s="23">
        <v>0</v>
      </c>
    </row>
    <row r="1235" spans="2:37" x14ac:dyDescent="0.3"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  <c r="AA1235" s="23"/>
      <c r="AB1235" s="23"/>
      <c r="AC1235" s="23"/>
      <c r="AD1235" s="23"/>
      <c r="AE1235" s="23"/>
      <c r="AF1235" s="23"/>
      <c r="AG1235" s="23"/>
      <c r="AH1235" s="23"/>
      <c r="AI1235" s="23"/>
      <c r="AJ1235" s="23">
        <v>0</v>
      </c>
      <c r="AK1235" s="23">
        <v>0</v>
      </c>
    </row>
    <row r="1236" spans="2:37" x14ac:dyDescent="0.3"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  <c r="AA1236" s="23"/>
      <c r="AB1236" s="23"/>
      <c r="AC1236" s="23"/>
      <c r="AD1236" s="23"/>
      <c r="AE1236" s="23"/>
      <c r="AF1236" s="23"/>
      <c r="AG1236" s="23"/>
      <c r="AH1236" s="23"/>
      <c r="AI1236" s="23"/>
      <c r="AJ1236" s="23">
        <v>0</v>
      </c>
      <c r="AK1236" s="23">
        <v>0</v>
      </c>
    </row>
    <row r="1237" spans="2:37" x14ac:dyDescent="0.3"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  <c r="AA1237" s="23"/>
      <c r="AB1237" s="23"/>
      <c r="AC1237" s="23"/>
      <c r="AD1237" s="23"/>
      <c r="AE1237" s="23"/>
      <c r="AF1237" s="23"/>
      <c r="AG1237" s="23"/>
      <c r="AH1237" s="23"/>
      <c r="AI1237" s="23"/>
      <c r="AJ1237" s="23">
        <v>0</v>
      </c>
      <c r="AK1237" s="23">
        <v>0</v>
      </c>
    </row>
    <row r="1238" spans="2:37" x14ac:dyDescent="0.3"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  <c r="AA1238" s="23"/>
      <c r="AB1238" s="23"/>
      <c r="AC1238" s="23"/>
      <c r="AD1238" s="23"/>
      <c r="AE1238" s="23"/>
      <c r="AF1238" s="23"/>
      <c r="AG1238" s="23"/>
      <c r="AH1238" s="23"/>
      <c r="AI1238" s="23"/>
      <c r="AJ1238" s="23">
        <v>0</v>
      </c>
      <c r="AK1238" s="23">
        <v>0</v>
      </c>
    </row>
    <row r="1239" spans="2:37" x14ac:dyDescent="0.3"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  <c r="AA1239" s="23"/>
      <c r="AB1239" s="23"/>
      <c r="AC1239" s="23"/>
      <c r="AD1239" s="23"/>
      <c r="AE1239" s="23"/>
      <c r="AF1239" s="23"/>
      <c r="AG1239" s="23"/>
      <c r="AH1239" s="23"/>
      <c r="AI1239" s="23"/>
      <c r="AJ1239" s="23">
        <v>0</v>
      </c>
      <c r="AK1239" s="23">
        <v>0</v>
      </c>
    </row>
    <row r="1240" spans="2:37" x14ac:dyDescent="0.3"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  <c r="AA1240" s="23"/>
      <c r="AB1240" s="23"/>
      <c r="AC1240" s="23"/>
      <c r="AD1240" s="23"/>
      <c r="AE1240" s="23"/>
      <c r="AF1240" s="23"/>
      <c r="AG1240" s="23"/>
      <c r="AH1240" s="23"/>
      <c r="AI1240" s="23"/>
      <c r="AJ1240" s="23">
        <v>0</v>
      </c>
      <c r="AK1240" s="23">
        <v>0</v>
      </c>
    </row>
    <row r="1241" spans="2:37" x14ac:dyDescent="0.3"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  <c r="AA1241" s="23"/>
      <c r="AB1241" s="23"/>
      <c r="AC1241" s="23"/>
      <c r="AD1241" s="23"/>
      <c r="AE1241" s="23"/>
      <c r="AF1241" s="23"/>
      <c r="AG1241" s="23"/>
      <c r="AH1241" s="23"/>
      <c r="AI1241" s="23"/>
      <c r="AJ1241" s="23">
        <v>0</v>
      </c>
      <c r="AK1241" s="23">
        <v>0</v>
      </c>
    </row>
    <row r="1242" spans="2:37" x14ac:dyDescent="0.3"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  <c r="AA1242" s="23"/>
      <c r="AB1242" s="23"/>
      <c r="AC1242" s="23"/>
      <c r="AD1242" s="23"/>
      <c r="AE1242" s="23"/>
      <c r="AF1242" s="23"/>
      <c r="AG1242" s="23"/>
      <c r="AH1242" s="23"/>
      <c r="AI1242" s="23"/>
      <c r="AJ1242" s="23">
        <v>0</v>
      </c>
      <c r="AK1242" s="23">
        <v>0</v>
      </c>
    </row>
    <row r="1243" spans="2:37" x14ac:dyDescent="0.3"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  <c r="AA1243" s="23"/>
      <c r="AB1243" s="23"/>
      <c r="AC1243" s="23"/>
      <c r="AD1243" s="23"/>
      <c r="AE1243" s="23"/>
      <c r="AF1243" s="23"/>
      <c r="AG1243" s="23"/>
      <c r="AH1243" s="23"/>
      <c r="AI1243" s="23"/>
      <c r="AJ1243" s="23">
        <v>0</v>
      </c>
      <c r="AK1243" s="23">
        <v>0</v>
      </c>
    </row>
    <row r="1244" spans="2:37" x14ac:dyDescent="0.3"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  <c r="AA1244" s="23"/>
      <c r="AB1244" s="23"/>
      <c r="AC1244" s="23"/>
      <c r="AD1244" s="23"/>
      <c r="AE1244" s="23"/>
      <c r="AF1244" s="23"/>
      <c r="AG1244" s="23"/>
      <c r="AH1244" s="23"/>
      <c r="AI1244" s="23"/>
      <c r="AJ1244" s="23">
        <v>0</v>
      </c>
      <c r="AK1244" s="23">
        <v>0</v>
      </c>
    </row>
    <row r="1245" spans="2:37" x14ac:dyDescent="0.3"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  <c r="AA1245" s="23"/>
      <c r="AB1245" s="23"/>
      <c r="AC1245" s="23"/>
      <c r="AD1245" s="23"/>
      <c r="AE1245" s="23"/>
      <c r="AF1245" s="23"/>
      <c r="AG1245" s="23"/>
      <c r="AH1245" s="23"/>
      <c r="AI1245" s="23"/>
      <c r="AJ1245" s="23">
        <v>0</v>
      </c>
      <c r="AK1245" s="23">
        <v>0</v>
      </c>
    </row>
    <row r="1246" spans="2:37" x14ac:dyDescent="0.3"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  <c r="AA1246" s="23"/>
      <c r="AB1246" s="23"/>
      <c r="AC1246" s="23"/>
      <c r="AD1246" s="23"/>
      <c r="AE1246" s="23"/>
      <c r="AF1246" s="23"/>
      <c r="AG1246" s="23"/>
      <c r="AH1246" s="23"/>
      <c r="AI1246" s="23"/>
      <c r="AJ1246" s="23">
        <v>0</v>
      </c>
      <c r="AK1246" s="23">
        <v>0</v>
      </c>
    </row>
    <row r="1247" spans="2:37" x14ac:dyDescent="0.3"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  <c r="AA1247" s="23"/>
      <c r="AB1247" s="23"/>
      <c r="AC1247" s="23"/>
      <c r="AD1247" s="23"/>
      <c r="AE1247" s="23"/>
      <c r="AF1247" s="23"/>
      <c r="AG1247" s="23"/>
      <c r="AH1247" s="23"/>
      <c r="AI1247" s="23"/>
      <c r="AJ1247" s="23">
        <v>0</v>
      </c>
      <c r="AK1247" s="23">
        <v>0</v>
      </c>
    </row>
    <row r="1248" spans="2:37" x14ac:dyDescent="0.3"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  <c r="AA1248" s="23"/>
      <c r="AB1248" s="23"/>
      <c r="AC1248" s="23"/>
      <c r="AD1248" s="23"/>
      <c r="AE1248" s="23"/>
      <c r="AF1248" s="23"/>
      <c r="AG1248" s="23"/>
      <c r="AH1248" s="23"/>
      <c r="AI1248" s="23"/>
      <c r="AJ1248" s="23">
        <v>0</v>
      </c>
      <c r="AK1248" s="23">
        <v>0</v>
      </c>
    </row>
    <row r="1249" spans="2:37" x14ac:dyDescent="0.3"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  <c r="AA1249" s="23"/>
      <c r="AB1249" s="23"/>
      <c r="AC1249" s="23"/>
      <c r="AD1249" s="23"/>
      <c r="AE1249" s="23"/>
      <c r="AF1249" s="23"/>
      <c r="AG1249" s="23"/>
      <c r="AH1249" s="23"/>
      <c r="AI1249" s="23"/>
      <c r="AJ1249" s="23">
        <v>0</v>
      </c>
      <c r="AK1249" s="23">
        <v>0</v>
      </c>
    </row>
    <row r="1250" spans="2:37" x14ac:dyDescent="0.3"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  <c r="AA1250" s="23"/>
      <c r="AB1250" s="23"/>
      <c r="AC1250" s="23"/>
      <c r="AD1250" s="23"/>
      <c r="AE1250" s="23"/>
      <c r="AF1250" s="23"/>
      <c r="AG1250" s="23"/>
      <c r="AH1250" s="23"/>
      <c r="AI1250" s="23"/>
      <c r="AJ1250" s="23">
        <v>0</v>
      </c>
      <c r="AK1250" s="23">
        <v>0</v>
      </c>
    </row>
    <row r="1251" spans="2:37" x14ac:dyDescent="0.3"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  <c r="AA1251" s="23"/>
      <c r="AB1251" s="23"/>
      <c r="AC1251" s="23"/>
      <c r="AD1251" s="23"/>
      <c r="AE1251" s="23"/>
      <c r="AF1251" s="23"/>
      <c r="AG1251" s="23"/>
      <c r="AH1251" s="23"/>
      <c r="AI1251" s="23"/>
      <c r="AJ1251" s="23">
        <v>0</v>
      </c>
      <c r="AK1251" s="23">
        <v>0</v>
      </c>
    </row>
    <row r="1252" spans="2:37" x14ac:dyDescent="0.3"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  <c r="AA1252" s="23"/>
      <c r="AB1252" s="23"/>
      <c r="AC1252" s="23"/>
      <c r="AD1252" s="23"/>
      <c r="AE1252" s="23"/>
      <c r="AF1252" s="23"/>
      <c r="AG1252" s="23"/>
      <c r="AH1252" s="23"/>
      <c r="AI1252" s="23"/>
      <c r="AJ1252" s="23">
        <v>0</v>
      </c>
      <c r="AK1252" s="23">
        <v>0</v>
      </c>
    </row>
    <row r="1253" spans="2:37" x14ac:dyDescent="0.3"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  <c r="AA1253" s="23"/>
      <c r="AB1253" s="23"/>
      <c r="AC1253" s="23"/>
      <c r="AD1253" s="23"/>
      <c r="AE1253" s="23"/>
      <c r="AF1253" s="23"/>
      <c r="AG1253" s="23"/>
      <c r="AH1253" s="23"/>
      <c r="AI1253" s="23"/>
      <c r="AJ1253" s="23">
        <v>0</v>
      </c>
      <c r="AK1253" s="23">
        <v>0</v>
      </c>
    </row>
    <row r="1254" spans="2:37" x14ac:dyDescent="0.3"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  <c r="AA1254" s="23"/>
      <c r="AB1254" s="23"/>
      <c r="AC1254" s="23"/>
      <c r="AD1254" s="23"/>
      <c r="AE1254" s="23"/>
      <c r="AF1254" s="23"/>
      <c r="AG1254" s="23"/>
      <c r="AH1254" s="23"/>
      <c r="AI1254" s="23"/>
      <c r="AJ1254" s="23">
        <v>0</v>
      </c>
      <c r="AK1254" s="23">
        <v>0</v>
      </c>
    </row>
    <row r="1255" spans="2:37" x14ac:dyDescent="0.3"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  <c r="AA1255" s="23"/>
      <c r="AB1255" s="23"/>
      <c r="AC1255" s="23"/>
      <c r="AD1255" s="23"/>
      <c r="AE1255" s="23"/>
      <c r="AF1255" s="23"/>
      <c r="AG1255" s="23"/>
      <c r="AH1255" s="23"/>
      <c r="AI1255" s="23"/>
      <c r="AJ1255" s="23">
        <v>0</v>
      </c>
      <c r="AK1255" s="23">
        <v>0</v>
      </c>
    </row>
    <row r="1256" spans="2:37" x14ac:dyDescent="0.3"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  <c r="AA1256" s="23"/>
      <c r="AB1256" s="23"/>
      <c r="AC1256" s="23"/>
      <c r="AD1256" s="23"/>
      <c r="AE1256" s="23"/>
      <c r="AF1256" s="23"/>
      <c r="AG1256" s="23"/>
      <c r="AH1256" s="23"/>
      <c r="AI1256" s="23"/>
      <c r="AJ1256" s="23">
        <v>0</v>
      </c>
      <c r="AK1256" s="23">
        <v>0</v>
      </c>
    </row>
    <row r="1257" spans="2:37" x14ac:dyDescent="0.3"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  <c r="AA1257" s="23"/>
      <c r="AB1257" s="23"/>
      <c r="AC1257" s="23"/>
      <c r="AD1257" s="23"/>
      <c r="AE1257" s="23"/>
      <c r="AF1257" s="23"/>
      <c r="AG1257" s="23"/>
      <c r="AH1257" s="23"/>
      <c r="AI1257" s="23"/>
      <c r="AJ1257" s="23">
        <v>0</v>
      </c>
      <c r="AK1257" s="23">
        <v>0</v>
      </c>
    </row>
    <row r="1258" spans="2:37" x14ac:dyDescent="0.3"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  <c r="AA1258" s="23"/>
      <c r="AB1258" s="23"/>
      <c r="AC1258" s="23"/>
      <c r="AD1258" s="23"/>
      <c r="AE1258" s="23"/>
      <c r="AF1258" s="23"/>
      <c r="AG1258" s="23"/>
      <c r="AH1258" s="23"/>
      <c r="AI1258" s="23"/>
      <c r="AJ1258" s="23">
        <v>0</v>
      </c>
      <c r="AK1258" s="23">
        <v>0</v>
      </c>
    </row>
    <row r="1259" spans="2:37" x14ac:dyDescent="0.3"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  <c r="AA1259" s="23"/>
      <c r="AB1259" s="23"/>
      <c r="AC1259" s="23"/>
      <c r="AD1259" s="23"/>
      <c r="AE1259" s="23"/>
      <c r="AF1259" s="23"/>
      <c r="AG1259" s="23"/>
      <c r="AH1259" s="23"/>
      <c r="AI1259" s="23"/>
      <c r="AJ1259" s="23">
        <v>0</v>
      </c>
      <c r="AK1259" s="23">
        <v>0</v>
      </c>
    </row>
    <row r="1260" spans="2:37" x14ac:dyDescent="0.3"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  <c r="AA1260" s="23"/>
      <c r="AB1260" s="23"/>
      <c r="AC1260" s="23"/>
      <c r="AD1260" s="23"/>
      <c r="AE1260" s="23"/>
      <c r="AF1260" s="23"/>
      <c r="AG1260" s="23"/>
      <c r="AH1260" s="23"/>
      <c r="AI1260" s="23"/>
      <c r="AJ1260" s="23">
        <v>0</v>
      </c>
      <c r="AK1260" s="23">
        <v>0</v>
      </c>
    </row>
    <row r="1261" spans="2:37" x14ac:dyDescent="0.3"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  <c r="AA1261" s="23"/>
      <c r="AB1261" s="23"/>
      <c r="AC1261" s="23"/>
      <c r="AD1261" s="23"/>
      <c r="AE1261" s="23"/>
      <c r="AF1261" s="23"/>
      <c r="AG1261" s="23"/>
      <c r="AH1261" s="23"/>
      <c r="AI1261" s="23"/>
      <c r="AJ1261" s="23">
        <v>0</v>
      </c>
      <c r="AK1261" s="23">
        <v>0</v>
      </c>
    </row>
    <row r="1262" spans="2:37" x14ac:dyDescent="0.3"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  <c r="AA1262" s="23"/>
      <c r="AB1262" s="23"/>
      <c r="AC1262" s="23"/>
      <c r="AD1262" s="23"/>
      <c r="AE1262" s="23"/>
      <c r="AF1262" s="23"/>
      <c r="AG1262" s="23"/>
      <c r="AH1262" s="23"/>
      <c r="AI1262" s="23"/>
      <c r="AJ1262" s="23">
        <v>0</v>
      </c>
      <c r="AK1262" s="23">
        <v>0</v>
      </c>
    </row>
    <row r="1263" spans="2:37" x14ac:dyDescent="0.3"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  <c r="AA1263" s="23"/>
      <c r="AB1263" s="23"/>
      <c r="AC1263" s="23"/>
      <c r="AD1263" s="23"/>
      <c r="AE1263" s="23"/>
      <c r="AF1263" s="23"/>
      <c r="AG1263" s="23"/>
      <c r="AH1263" s="23"/>
      <c r="AI1263" s="23"/>
      <c r="AJ1263" s="23">
        <v>0</v>
      </c>
      <c r="AK1263" s="23">
        <v>0</v>
      </c>
    </row>
    <row r="1264" spans="2:37" x14ac:dyDescent="0.3"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  <c r="AA1264" s="23"/>
      <c r="AB1264" s="23"/>
      <c r="AC1264" s="23"/>
      <c r="AD1264" s="23"/>
      <c r="AE1264" s="23"/>
      <c r="AF1264" s="23"/>
      <c r="AG1264" s="23"/>
      <c r="AH1264" s="23"/>
      <c r="AI1264" s="23"/>
      <c r="AJ1264" s="23">
        <v>0</v>
      </c>
      <c r="AK1264" s="23">
        <v>0</v>
      </c>
    </row>
    <row r="1265" spans="2:37" x14ac:dyDescent="0.3"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  <c r="AA1265" s="23"/>
      <c r="AB1265" s="23"/>
      <c r="AC1265" s="23"/>
      <c r="AD1265" s="23"/>
      <c r="AE1265" s="23"/>
      <c r="AF1265" s="23"/>
      <c r="AG1265" s="23"/>
      <c r="AH1265" s="23"/>
      <c r="AI1265" s="23"/>
      <c r="AJ1265" s="23">
        <v>0</v>
      </c>
      <c r="AK1265" s="23">
        <v>0</v>
      </c>
    </row>
    <row r="1266" spans="2:37" x14ac:dyDescent="0.3"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  <c r="AA1266" s="23"/>
      <c r="AB1266" s="23"/>
      <c r="AC1266" s="23"/>
      <c r="AD1266" s="23"/>
      <c r="AE1266" s="23"/>
      <c r="AF1266" s="23"/>
      <c r="AG1266" s="23"/>
      <c r="AH1266" s="23"/>
      <c r="AI1266" s="23"/>
      <c r="AJ1266" s="23">
        <v>0</v>
      </c>
      <c r="AK1266" s="23">
        <v>0</v>
      </c>
    </row>
    <row r="1267" spans="2:37" x14ac:dyDescent="0.3"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  <c r="AA1267" s="23"/>
      <c r="AB1267" s="23"/>
      <c r="AC1267" s="23"/>
      <c r="AD1267" s="23"/>
      <c r="AE1267" s="23"/>
      <c r="AF1267" s="23"/>
      <c r="AG1267" s="23"/>
      <c r="AH1267" s="23"/>
      <c r="AI1267" s="23"/>
      <c r="AJ1267" s="23">
        <v>0</v>
      </c>
      <c r="AK1267" s="23">
        <v>0</v>
      </c>
    </row>
    <row r="1268" spans="2:37" x14ac:dyDescent="0.3"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  <c r="AA1268" s="23"/>
      <c r="AB1268" s="23"/>
      <c r="AC1268" s="23"/>
      <c r="AD1268" s="23"/>
      <c r="AE1268" s="23"/>
      <c r="AF1268" s="23"/>
      <c r="AG1268" s="23"/>
      <c r="AH1268" s="23"/>
      <c r="AI1268" s="23"/>
      <c r="AJ1268" s="23">
        <v>0</v>
      </c>
      <c r="AK1268" s="23">
        <v>0</v>
      </c>
    </row>
    <row r="1269" spans="2:37" x14ac:dyDescent="0.3"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  <c r="AA1269" s="23"/>
      <c r="AB1269" s="23"/>
      <c r="AC1269" s="23"/>
      <c r="AD1269" s="23"/>
      <c r="AE1269" s="23"/>
      <c r="AF1269" s="23"/>
      <c r="AG1269" s="23"/>
      <c r="AH1269" s="23"/>
      <c r="AI1269" s="23"/>
      <c r="AJ1269" s="23">
        <v>0</v>
      </c>
      <c r="AK1269" s="23">
        <v>0</v>
      </c>
    </row>
    <row r="1270" spans="2:37" x14ac:dyDescent="0.3"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  <c r="AA1270" s="23"/>
      <c r="AB1270" s="23"/>
      <c r="AC1270" s="23"/>
      <c r="AD1270" s="23"/>
      <c r="AE1270" s="23"/>
      <c r="AF1270" s="23"/>
      <c r="AG1270" s="23"/>
      <c r="AH1270" s="23"/>
      <c r="AI1270" s="23"/>
      <c r="AJ1270" s="23">
        <v>0</v>
      </c>
      <c r="AK1270" s="23">
        <v>0</v>
      </c>
    </row>
    <row r="1271" spans="2:37" x14ac:dyDescent="0.3"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  <c r="AA1271" s="23"/>
      <c r="AB1271" s="23"/>
      <c r="AC1271" s="23"/>
      <c r="AD1271" s="23"/>
      <c r="AE1271" s="23"/>
      <c r="AF1271" s="23"/>
      <c r="AG1271" s="23"/>
      <c r="AH1271" s="23"/>
      <c r="AI1271" s="23"/>
      <c r="AJ1271" s="23">
        <v>0</v>
      </c>
      <c r="AK1271" s="23">
        <v>0</v>
      </c>
    </row>
    <row r="1272" spans="2:37" x14ac:dyDescent="0.3"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  <c r="AA1272" s="23"/>
      <c r="AB1272" s="23"/>
      <c r="AC1272" s="23"/>
      <c r="AD1272" s="23"/>
      <c r="AE1272" s="23"/>
      <c r="AF1272" s="23"/>
      <c r="AG1272" s="23"/>
      <c r="AH1272" s="23"/>
      <c r="AI1272" s="23"/>
      <c r="AJ1272" s="23">
        <v>0</v>
      </c>
      <c r="AK1272" s="23">
        <v>0</v>
      </c>
    </row>
    <row r="1273" spans="2:37" x14ac:dyDescent="0.3"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  <c r="AA1273" s="23"/>
      <c r="AB1273" s="23"/>
      <c r="AC1273" s="23"/>
      <c r="AD1273" s="23"/>
      <c r="AE1273" s="23"/>
      <c r="AF1273" s="23"/>
      <c r="AG1273" s="23"/>
      <c r="AH1273" s="23"/>
      <c r="AI1273" s="23"/>
      <c r="AJ1273" s="23">
        <v>0</v>
      </c>
      <c r="AK1273" s="23">
        <v>0</v>
      </c>
    </row>
    <row r="1274" spans="2:37" x14ac:dyDescent="0.3"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  <c r="AA1274" s="23"/>
      <c r="AB1274" s="23"/>
      <c r="AC1274" s="23"/>
      <c r="AD1274" s="23"/>
      <c r="AE1274" s="23"/>
      <c r="AF1274" s="23"/>
      <c r="AG1274" s="23"/>
      <c r="AH1274" s="23"/>
      <c r="AI1274" s="23"/>
      <c r="AJ1274" s="23">
        <v>0</v>
      </c>
      <c r="AK1274" s="23">
        <v>0</v>
      </c>
    </row>
    <row r="1275" spans="2:37" x14ac:dyDescent="0.3"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  <c r="AA1275" s="23"/>
      <c r="AB1275" s="23"/>
      <c r="AC1275" s="23"/>
      <c r="AD1275" s="23"/>
      <c r="AE1275" s="23"/>
      <c r="AF1275" s="23"/>
      <c r="AG1275" s="23"/>
      <c r="AH1275" s="23"/>
      <c r="AI1275" s="23"/>
      <c r="AJ1275" s="23">
        <v>0</v>
      </c>
      <c r="AK1275" s="23">
        <v>0</v>
      </c>
    </row>
    <row r="1276" spans="2:37" x14ac:dyDescent="0.3"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  <c r="AA1276" s="23"/>
      <c r="AB1276" s="23"/>
      <c r="AC1276" s="23"/>
      <c r="AD1276" s="23"/>
      <c r="AE1276" s="23"/>
      <c r="AF1276" s="23"/>
      <c r="AG1276" s="23"/>
      <c r="AH1276" s="23"/>
      <c r="AI1276" s="23"/>
      <c r="AJ1276" s="23">
        <v>0</v>
      </c>
      <c r="AK1276" s="23">
        <v>0</v>
      </c>
    </row>
    <row r="1277" spans="2:37" x14ac:dyDescent="0.3"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  <c r="AA1277" s="23"/>
      <c r="AB1277" s="23"/>
      <c r="AC1277" s="23"/>
      <c r="AD1277" s="23"/>
      <c r="AE1277" s="23"/>
      <c r="AF1277" s="23"/>
      <c r="AG1277" s="23"/>
      <c r="AH1277" s="23"/>
      <c r="AI1277" s="23"/>
      <c r="AJ1277" s="23">
        <v>0</v>
      </c>
      <c r="AK1277" s="23">
        <v>0</v>
      </c>
    </row>
    <row r="1278" spans="2:37" x14ac:dyDescent="0.3"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  <c r="AA1278" s="23"/>
      <c r="AB1278" s="23"/>
      <c r="AC1278" s="23"/>
      <c r="AD1278" s="23"/>
      <c r="AE1278" s="23"/>
      <c r="AF1278" s="23"/>
      <c r="AG1278" s="23"/>
      <c r="AH1278" s="23"/>
      <c r="AI1278" s="23"/>
      <c r="AJ1278" s="23">
        <v>0</v>
      </c>
      <c r="AK1278" s="23">
        <v>0</v>
      </c>
    </row>
    <row r="1279" spans="2:37" x14ac:dyDescent="0.3"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  <c r="AA1279" s="23"/>
      <c r="AB1279" s="23"/>
      <c r="AC1279" s="23"/>
      <c r="AD1279" s="23"/>
      <c r="AE1279" s="23"/>
      <c r="AF1279" s="23"/>
      <c r="AG1279" s="23"/>
      <c r="AH1279" s="23"/>
      <c r="AI1279" s="23"/>
      <c r="AJ1279" s="23">
        <v>0</v>
      </c>
      <c r="AK1279" s="23">
        <v>0</v>
      </c>
    </row>
    <row r="1280" spans="2:37" x14ac:dyDescent="0.3"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  <c r="AA1280" s="23"/>
      <c r="AB1280" s="23"/>
      <c r="AC1280" s="23"/>
      <c r="AD1280" s="23"/>
      <c r="AE1280" s="23"/>
      <c r="AF1280" s="23"/>
      <c r="AG1280" s="23"/>
      <c r="AH1280" s="23"/>
      <c r="AI1280" s="23"/>
      <c r="AJ1280" s="23">
        <v>0</v>
      </c>
      <c r="AK1280" s="23">
        <v>0</v>
      </c>
    </row>
    <row r="1281" spans="2:37" x14ac:dyDescent="0.3"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  <c r="AA1281" s="23"/>
      <c r="AB1281" s="23"/>
      <c r="AC1281" s="23"/>
      <c r="AD1281" s="23"/>
      <c r="AE1281" s="23"/>
      <c r="AF1281" s="23"/>
      <c r="AG1281" s="23"/>
      <c r="AH1281" s="23"/>
      <c r="AI1281" s="23"/>
      <c r="AJ1281" s="23">
        <v>0</v>
      </c>
      <c r="AK1281" s="23">
        <v>0</v>
      </c>
    </row>
    <row r="1282" spans="2:37" x14ac:dyDescent="0.3"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  <c r="AA1282" s="23"/>
      <c r="AB1282" s="23"/>
      <c r="AC1282" s="23"/>
      <c r="AD1282" s="23"/>
      <c r="AE1282" s="23"/>
      <c r="AF1282" s="23"/>
      <c r="AG1282" s="23"/>
      <c r="AH1282" s="23"/>
      <c r="AI1282" s="23"/>
      <c r="AJ1282" s="23">
        <v>0</v>
      </c>
      <c r="AK1282" s="23">
        <v>0</v>
      </c>
    </row>
    <row r="1283" spans="2:37" x14ac:dyDescent="0.3"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  <c r="AA1283" s="23"/>
      <c r="AB1283" s="23"/>
      <c r="AC1283" s="23"/>
      <c r="AD1283" s="23"/>
      <c r="AE1283" s="23"/>
      <c r="AF1283" s="23"/>
      <c r="AG1283" s="23"/>
      <c r="AH1283" s="23"/>
      <c r="AI1283" s="23"/>
      <c r="AJ1283" s="23">
        <v>0</v>
      </c>
      <c r="AK1283" s="23">
        <v>0</v>
      </c>
    </row>
    <row r="1284" spans="2:37" x14ac:dyDescent="0.3"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  <c r="AA1284" s="23"/>
      <c r="AB1284" s="23"/>
      <c r="AC1284" s="23"/>
      <c r="AD1284" s="23"/>
      <c r="AE1284" s="23"/>
      <c r="AF1284" s="23"/>
      <c r="AG1284" s="23"/>
      <c r="AH1284" s="23"/>
      <c r="AI1284" s="23"/>
      <c r="AJ1284" s="23">
        <v>0</v>
      </c>
      <c r="AK1284" s="23">
        <v>0</v>
      </c>
    </row>
    <row r="1285" spans="2:37" x14ac:dyDescent="0.3"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  <c r="AA1285" s="23"/>
      <c r="AB1285" s="23"/>
      <c r="AC1285" s="23"/>
      <c r="AD1285" s="23"/>
      <c r="AE1285" s="23"/>
      <c r="AF1285" s="23"/>
      <c r="AG1285" s="23"/>
      <c r="AH1285" s="23"/>
      <c r="AI1285" s="23"/>
      <c r="AJ1285" s="23">
        <v>0</v>
      </c>
      <c r="AK1285" s="23">
        <v>0</v>
      </c>
    </row>
    <row r="1286" spans="2:37" x14ac:dyDescent="0.3"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  <c r="AA1286" s="23"/>
      <c r="AB1286" s="23"/>
      <c r="AC1286" s="23"/>
      <c r="AD1286" s="23"/>
      <c r="AE1286" s="23"/>
      <c r="AF1286" s="23"/>
      <c r="AG1286" s="23"/>
      <c r="AH1286" s="23"/>
      <c r="AI1286" s="23"/>
      <c r="AJ1286" s="23">
        <v>0</v>
      </c>
      <c r="AK1286" s="23">
        <v>0</v>
      </c>
    </row>
    <row r="1287" spans="2:37" x14ac:dyDescent="0.3"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  <c r="AA1287" s="23"/>
      <c r="AB1287" s="23"/>
      <c r="AC1287" s="23"/>
      <c r="AD1287" s="23"/>
      <c r="AE1287" s="23"/>
      <c r="AF1287" s="23"/>
      <c r="AG1287" s="23"/>
      <c r="AH1287" s="23"/>
      <c r="AI1287" s="23"/>
      <c r="AJ1287" s="23">
        <v>0</v>
      </c>
      <c r="AK1287" s="23">
        <v>0</v>
      </c>
    </row>
    <row r="1288" spans="2:37" x14ac:dyDescent="0.3"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  <c r="AA1288" s="23"/>
      <c r="AB1288" s="23"/>
      <c r="AC1288" s="23"/>
      <c r="AD1288" s="23"/>
      <c r="AE1288" s="23"/>
      <c r="AF1288" s="23"/>
      <c r="AG1288" s="23"/>
      <c r="AH1288" s="23"/>
      <c r="AI1288" s="23"/>
      <c r="AJ1288" s="23">
        <v>0</v>
      </c>
      <c r="AK1288" s="23">
        <v>0</v>
      </c>
    </row>
    <row r="1289" spans="2:37" x14ac:dyDescent="0.3"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  <c r="AA1289" s="23"/>
      <c r="AB1289" s="23"/>
      <c r="AC1289" s="23"/>
      <c r="AD1289" s="23"/>
      <c r="AE1289" s="23"/>
      <c r="AF1289" s="23"/>
      <c r="AG1289" s="23"/>
      <c r="AH1289" s="23"/>
      <c r="AI1289" s="23"/>
      <c r="AJ1289" s="23">
        <v>0</v>
      </c>
      <c r="AK1289" s="23">
        <v>0</v>
      </c>
    </row>
    <row r="1290" spans="2:37" x14ac:dyDescent="0.3"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  <c r="AA1290" s="23"/>
      <c r="AB1290" s="23"/>
      <c r="AC1290" s="23"/>
      <c r="AD1290" s="23"/>
      <c r="AE1290" s="23"/>
      <c r="AF1290" s="23"/>
      <c r="AG1290" s="23"/>
      <c r="AH1290" s="23"/>
      <c r="AI1290" s="23"/>
      <c r="AJ1290" s="23">
        <v>0</v>
      </c>
      <c r="AK1290" s="23">
        <v>0</v>
      </c>
    </row>
    <row r="1291" spans="2:37" x14ac:dyDescent="0.3"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  <c r="AA1291" s="23"/>
      <c r="AB1291" s="23"/>
      <c r="AC1291" s="23"/>
      <c r="AD1291" s="23"/>
      <c r="AE1291" s="23"/>
      <c r="AF1291" s="23"/>
      <c r="AG1291" s="23"/>
      <c r="AH1291" s="23"/>
      <c r="AI1291" s="23"/>
      <c r="AJ1291" s="23">
        <v>0</v>
      </c>
      <c r="AK1291" s="23">
        <v>0</v>
      </c>
    </row>
    <row r="1292" spans="2:37" x14ac:dyDescent="0.3"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  <c r="AA1292" s="23"/>
      <c r="AB1292" s="23"/>
      <c r="AC1292" s="23"/>
      <c r="AD1292" s="23"/>
      <c r="AE1292" s="23"/>
      <c r="AF1292" s="23"/>
      <c r="AG1292" s="23"/>
      <c r="AH1292" s="23"/>
      <c r="AI1292" s="23"/>
      <c r="AJ1292" s="23">
        <v>0</v>
      </c>
      <c r="AK1292" s="23">
        <v>0</v>
      </c>
    </row>
    <row r="1293" spans="2:37" x14ac:dyDescent="0.3"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  <c r="AA1293" s="23"/>
      <c r="AB1293" s="23"/>
      <c r="AC1293" s="23"/>
      <c r="AD1293" s="23"/>
      <c r="AE1293" s="23"/>
      <c r="AF1293" s="23"/>
      <c r="AG1293" s="23"/>
      <c r="AH1293" s="23"/>
      <c r="AI1293" s="23"/>
      <c r="AJ1293" s="23">
        <v>0</v>
      </c>
      <c r="AK1293" s="23">
        <v>0</v>
      </c>
    </row>
    <row r="1294" spans="2:37" x14ac:dyDescent="0.3"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  <c r="AA1294" s="23"/>
      <c r="AB1294" s="23"/>
      <c r="AC1294" s="23"/>
      <c r="AD1294" s="23"/>
      <c r="AE1294" s="23"/>
      <c r="AF1294" s="23"/>
      <c r="AG1294" s="23"/>
      <c r="AH1294" s="23"/>
      <c r="AI1294" s="23"/>
      <c r="AJ1294" s="23">
        <v>0</v>
      </c>
      <c r="AK1294" s="23">
        <v>0</v>
      </c>
    </row>
    <row r="1295" spans="2:37" x14ac:dyDescent="0.3"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  <c r="AA1295" s="23"/>
      <c r="AB1295" s="23"/>
      <c r="AC1295" s="23"/>
      <c r="AD1295" s="23"/>
      <c r="AE1295" s="23"/>
      <c r="AF1295" s="23"/>
      <c r="AG1295" s="23"/>
      <c r="AH1295" s="23"/>
      <c r="AI1295" s="23"/>
      <c r="AJ1295" s="23">
        <v>0</v>
      </c>
      <c r="AK1295" s="23">
        <v>0</v>
      </c>
    </row>
    <row r="1296" spans="2:37" x14ac:dyDescent="0.3"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  <c r="AA1296" s="23"/>
      <c r="AB1296" s="23"/>
      <c r="AC1296" s="23"/>
      <c r="AD1296" s="23"/>
      <c r="AE1296" s="23"/>
      <c r="AF1296" s="23"/>
      <c r="AG1296" s="23"/>
      <c r="AH1296" s="23"/>
      <c r="AI1296" s="23"/>
      <c r="AJ1296" s="23">
        <v>0</v>
      </c>
      <c r="AK1296" s="23">
        <v>0</v>
      </c>
    </row>
    <row r="1297" spans="2:37" x14ac:dyDescent="0.3"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  <c r="AA1297" s="23"/>
      <c r="AB1297" s="23"/>
      <c r="AC1297" s="23"/>
      <c r="AD1297" s="23"/>
      <c r="AE1297" s="23"/>
      <c r="AF1297" s="23"/>
      <c r="AG1297" s="23"/>
      <c r="AH1297" s="23"/>
      <c r="AI1297" s="23"/>
      <c r="AJ1297" s="23">
        <v>0</v>
      </c>
      <c r="AK1297" s="23">
        <v>0</v>
      </c>
    </row>
    <row r="1298" spans="2:37" x14ac:dyDescent="0.3"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  <c r="AA1298" s="23"/>
      <c r="AB1298" s="23"/>
      <c r="AC1298" s="23"/>
      <c r="AD1298" s="23"/>
      <c r="AE1298" s="23"/>
      <c r="AF1298" s="23"/>
      <c r="AG1298" s="23"/>
      <c r="AH1298" s="23"/>
      <c r="AI1298" s="23"/>
      <c r="AJ1298" s="23">
        <v>0</v>
      </c>
      <c r="AK1298" s="23">
        <v>0</v>
      </c>
    </row>
    <row r="1299" spans="2:37" x14ac:dyDescent="0.3"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  <c r="AA1299" s="23"/>
      <c r="AB1299" s="23"/>
      <c r="AC1299" s="23"/>
      <c r="AD1299" s="23"/>
      <c r="AE1299" s="23"/>
      <c r="AF1299" s="23"/>
      <c r="AG1299" s="23"/>
      <c r="AH1299" s="23"/>
      <c r="AI1299" s="23"/>
      <c r="AJ1299" s="23">
        <v>0</v>
      </c>
      <c r="AK1299" s="23">
        <v>0</v>
      </c>
    </row>
    <row r="1300" spans="2:37" x14ac:dyDescent="0.3"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  <c r="AA1300" s="23"/>
      <c r="AB1300" s="23"/>
      <c r="AC1300" s="23"/>
      <c r="AD1300" s="23"/>
      <c r="AE1300" s="23"/>
      <c r="AF1300" s="23"/>
      <c r="AG1300" s="23"/>
      <c r="AH1300" s="23"/>
      <c r="AI1300" s="23"/>
      <c r="AJ1300" s="23">
        <v>0</v>
      </c>
      <c r="AK1300" s="23">
        <v>0</v>
      </c>
    </row>
    <row r="1301" spans="2:37" x14ac:dyDescent="0.3"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  <c r="AA1301" s="23"/>
      <c r="AB1301" s="23"/>
      <c r="AC1301" s="23"/>
      <c r="AD1301" s="23"/>
      <c r="AE1301" s="23"/>
      <c r="AF1301" s="23"/>
      <c r="AG1301" s="23"/>
      <c r="AH1301" s="23"/>
      <c r="AI1301" s="23"/>
      <c r="AJ1301" s="23">
        <v>0</v>
      </c>
      <c r="AK1301" s="23">
        <v>0</v>
      </c>
    </row>
    <row r="1302" spans="2:37" x14ac:dyDescent="0.3"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  <c r="AA1302" s="23"/>
      <c r="AB1302" s="23"/>
      <c r="AC1302" s="23"/>
      <c r="AD1302" s="23"/>
      <c r="AE1302" s="23"/>
      <c r="AF1302" s="23"/>
      <c r="AG1302" s="23"/>
      <c r="AH1302" s="23"/>
      <c r="AI1302" s="23"/>
      <c r="AJ1302" s="23">
        <v>0</v>
      </c>
      <c r="AK1302" s="23">
        <v>0</v>
      </c>
    </row>
    <row r="1303" spans="2:37" x14ac:dyDescent="0.3"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  <c r="AA1303" s="23"/>
      <c r="AB1303" s="23"/>
      <c r="AC1303" s="23"/>
      <c r="AD1303" s="23"/>
      <c r="AE1303" s="23"/>
      <c r="AF1303" s="23"/>
      <c r="AG1303" s="23"/>
      <c r="AH1303" s="23"/>
      <c r="AI1303" s="23"/>
      <c r="AJ1303" s="23">
        <v>0</v>
      </c>
      <c r="AK1303" s="23">
        <v>0</v>
      </c>
    </row>
    <row r="1304" spans="2:37" x14ac:dyDescent="0.3"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  <c r="AA1304" s="23"/>
      <c r="AB1304" s="23"/>
      <c r="AC1304" s="23"/>
      <c r="AD1304" s="23"/>
      <c r="AE1304" s="23"/>
      <c r="AF1304" s="23"/>
      <c r="AG1304" s="23"/>
      <c r="AH1304" s="23"/>
      <c r="AI1304" s="23"/>
      <c r="AJ1304" s="23">
        <v>0</v>
      </c>
      <c r="AK1304" s="23">
        <v>0</v>
      </c>
    </row>
    <row r="1305" spans="2:37" x14ac:dyDescent="0.3"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  <c r="AA1305" s="23"/>
      <c r="AB1305" s="23"/>
      <c r="AC1305" s="23"/>
      <c r="AD1305" s="23"/>
      <c r="AE1305" s="23"/>
      <c r="AF1305" s="23"/>
      <c r="AG1305" s="23"/>
      <c r="AH1305" s="23"/>
      <c r="AI1305" s="23"/>
      <c r="AJ1305" s="23">
        <v>0</v>
      </c>
      <c r="AK1305" s="23">
        <v>0</v>
      </c>
    </row>
    <row r="1306" spans="2:37" x14ac:dyDescent="0.3"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  <c r="AA1306" s="23"/>
      <c r="AB1306" s="23"/>
      <c r="AC1306" s="23"/>
      <c r="AD1306" s="23"/>
      <c r="AE1306" s="23"/>
      <c r="AF1306" s="23"/>
      <c r="AG1306" s="23"/>
      <c r="AH1306" s="23"/>
      <c r="AI1306" s="23"/>
      <c r="AJ1306" s="23">
        <v>0</v>
      </c>
      <c r="AK1306" s="23">
        <v>0</v>
      </c>
    </row>
    <row r="1307" spans="2:37" x14ac:dyDescent="0.3"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  <c r="AA1307" s="23"/>
      <c r="AB1307" s="23"/>
      <c r="AC1307" s="23"/>
      <c r="AD1307" s="23"/>
      <c r="AE1307" s="23"/>
      <c r="AF1307" s="23"/>
      <c r="AG1307" s="23"/>
      <c r="AH1307" s="23"/>
      <c r="AI1307" s="23"/>
      <c r="AJ1307" s="23">
        <v>0</v>
      </c>
      <c r="AK1307" s="23">
        <v>0</v>
      </c>
    </row>
    <row r="1308" spans="2:37" x14ac:dyDescent="0.3"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  <c r="AA1308" s="23"/>
      <c r="AB1308" s="23"/>
      <c r="AC1308" s="23"/>
      <c r="AD1308" s="23"/>
      <c r="AE1308" s="23"/>
      <c r="AF1308" s="23"/>
      <c r="AG1308" s="23"/>
      <c r="AH1308" s="23"/>
      <c r="AI1308" s="23"/>
      <c r="AJ1308" s="23">
        <v>0</v>
      </c>
      <c r="AK1308" s="23">
        <v>0</v>
      </c>
    </row>
    <row r="1309" spans="2:37" x14ac:dyDescent="0.3"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  <c r="AA1309" s="23"/>
      <c r="AB1309" s="23"/>
      <c r="AC1309" s="23"/>
      <c r="AD1309" s="23"/>
      <c r="AE1309" s="23"/>
      <c r="AF1309" s="23"/>
      <c r="AG1309" s="23"/>
      <c r="AH1309" s="23"/>
      <c r="AI1309" s="23"/>
      <c r="AJ1309" s="23">
        <v>0</v>
      </c>
      <c r="AK1309" s="23">
        <v>0</v>
      </c>
    </row>
    <row r="1310" spans="2:37" x14ac:dyDescent="0.3"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  <c r="AA1310" s="23"/>
      <c r="AB1310" s="23"/>
      <c r="AC1310" s="23"/>
      <c r="AD1310" s="23"/>
      <c r="AE1310" s="23"/>
      <c r="AF1310" s="23"/>
      <c r="AG1310" s="23"/>
      <c r="AH1310" s="23"/>
      <c r="AI1310" s="23"/>
      <c r="AJ1310" s="23">
        <v>0</v>
      </c>
      <c r="AK1310" s="23">
        <v>0</v>
      </c>
    </row>
    <row r="1311" spans="2:37" x14ac:dyDescent="0.3"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  <c r="AA1311" s="23"/>
      <c r="AB1311" s="23"/>
      <c r="AC1311" s="23"/>
      <c r="AD1311" s="23"/>
      <c r="AE1311" s="23"/>
      <c r="AF1311" s="23"/>
      <c r="AG1311" s="23"/>
      <c r="AH1311" s="23"/>
      <c r="AI1311" s="23"/>
      <c r="AJ1311" s="23">
        <v>0</v>
      </c>
      <c r="AK1311" s="23">
        <v>0</v>
      </c>
    </row>
    <row r="1312" spans="2:37" x14ac:dyDescent="0.3"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  <c r="AA1312" s="23"/>
      <c r="AB1312" s="23"/>
      <c r="AC1312" s="23"/>
      <c r="AD1312" s="23"/>
      <c r="AE1312" s="23"/>
      <c r="AF1312" s="23"/>
      <c r="AG1312" s="23"/>
      <c r="AH1312" s="23"/>
      <c r="AI1312" s="23"/>
      <c r="AJ1312" s="23">
        <v>0</v>
      </c>
      <c r="AK1312" s="23">
        <v>0</v>
      </c>
    </row>
    <row r="1313" spans="2:37" x14ac:dyDescent="0.3"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  <c r="AA1313" s="23"/>
      <c r="AB1313" s="23"/>
      <c r="AC1313" s="23"/>
      <c r="AD1313" s="23"/>
      <c r="AE1313" s="23"/>
      <c r="AF1313" s="23"/>
      <c r="AG1313" s="23"/>
      <c r="AH1313" s="23"/>
      <c r="AI1313" s="23"/>
      <c r="AJ1313" s="23">
        <v>0</v>
      </c>
      <c r="AK1313" s="23">
        <v>0</v>
      </c>
    </row>
    <row r="1314" spans="2:37" x14ac:dyDescent="0.3"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  <c r="AA1314" s="23"/>
      <c r="AB1314" s="23"/>
      <c r="AC1314" s="23"/>
      <c r="AD1314" s="23"/>
      <c r="AE1314" s="23"/>
      <c r="AF1314" s="23"/>
      <c r="AG1314" s="23"/>
      <c r="AH1314" s="23"/>
      <c r="AI1314" s="23"/>
      <c r="AJ1314" s="23">
        <v>0</v>
      </c>
      <c r="AK1314" s="23">
        <v>0</v>
      </c>
    </row>
    <row r="1315" spans="2:37" x14ac:dyDescent="0.3"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  <c r="AA1315" s="23"/>
      <c r="AB1315" s="23"/>
      <c r="AC1315" s="23"/>
      <c r="AD1315" s="23"/>
      <c r="AE1315" s="23"/>
      <c r="AF1315" s="23"/>
      <c r="AG1315" s="23"/>
      <c r="AH1315" s="23"/>
      <c r="AI1315" s="23"/>
      <c r="AJ1315" s="23">
        <v>0</v>
      </c>
      <c r="AK1315" s="23">
        <v>0</v>
      </c>
    </row>
    <row r="1316" spans="2:37" x14ac:dyDescent="0.3"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  <c r="AA1316" s="23"/>
      <c r="AB1316" s="23"/>
      <c r="AC1316" s="23"/>
      <c r="AD1316" s="23"/>
      <c r="AE1316" s="23"/>
      <c r="AF1316" s="23"/>
      <c r="AG1316" s="23"/>
      <c r="AH1316" s="23"/>
      <c r="AI1316" s="23"/>
      <c r="AJ1316" s="23">
        <v>0</v>
      </c>
      <c r="AK1316" s="23">
        <v>0</v>
      </c>
    </row>
    <row r="1317" spans="2:37" x14ac:dyDescent="0.3"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  <c r="AA1317" s="23"/>
      <c r="AB1317" s="23"/>
      <c r="AC1317" s="23"/>
      <c r="AD1317" s="23"/>
      <c r="AE1317" s="23"/>
      <c r="AF1317" s="23"/>
      <c r="AG1317" s="23"/>
      <c r="AH1317" s="23"/>
      <c r="AI1317" s="23"/>
      <c r="AJ1317" s="23">
        <v>0</v>
      </c>
      <c r="AK1317" s="23">
        <v>0</v>
      </c>
    </row>
    <row r="1318" spans="2:37" x14ac:dyDescent="0.3"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  <c r="AA1318" s="23"/>
      <c r="AB1318" s="23"/>
      <c r="AC1318" s="23"/>
      <c r="AD1318" s="23"/>
      <c r="AE1318" s="23"/>
      <c r="AF1318" s="23"/>
      <c r="AG1318" s="23"/>
      <c r="AH1318" s="23"/>
      <c r="AI1318" s="23"/>
      <c r="AJ1318" s="23">
        <v>0</v>
      </c>
      <c r="AK1318" s="23">
        <v>0</v>
      </c>
    </row>
    <row r="1319" spans="2:37" x14ac:dyDescent="0.3"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  <c r="AA1319" s="23"/>
      <c r="AB1319" s="23"/>
      <c r="AC1319" s="23"/>
      <c r="AD1319" s="23"/>
      <c r="AE1319" s="23"/>
      <c r="AF1319" s="23"/>
      <c r="AG1319" s="23"/>
      <c r="AH1319" s="23"/>
      <c r="AI1319" s="23"/>
      <c r="AJ1319" s="23">
        <v>0</v>
      </c>
      <c r="AK1319" s="23">
        <v>0</v>
      </c>
    </row>
    <row r="1320" spans="2:37" x14ac:dyDescent="0.3"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  <c r="AA1320" s="23"/>
      <c r="AB1320" s="23"/>
      <c r="AC1320" s="23"/>
      <c r="AD1320" s="23"/>
      <c r="AE1320" s="23"/>
      <c r="AF1320" s="23"/>
      <c r="AG1320" s="23"/>
      <c r="AH1320" s="23"/>
      <c r="AI1320" s="23"/>
      <c r="AJ1320" s="23">
        <v>0</v>
      </c>
      <c r="AK1320" s="23">
        <v>0</v>
      </c>
    </row>
    <row r="1321" spans="2:37" x14ac:dyDescent="0.3"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  <c r="AA1321" s="23"/>
      <c r="AB1321" s="23"/>
      <c r="AC1321" s="23"/>
      <c r="AD1321" s="23"/>
      <c r="AE1321" s="23"/>
      <c r="AF1321" s="23"/>
      <c r="AG1321" s="23"/>
      <c r="AH1321" s="23"/>
      <c r="AI1321" s="23"/>
      <c r="AJ1321" s="23">
        <v>0</v>
      </c>
      <c r="AK1321" s="23">
        <v>0</v>
      </c>
    </row>
    <row r="1322" spans="2:37" x14ac:dyDescent="0.3"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  <c r="AA1322" s="23"/>
      <c r="AB1322" s="23"/>
      <c r="AC1322" s="23"/>
      <c r="AD1322" s="23"/>
      <c r="AE1322" s="23"/>
      <c r="AF1322" s="23"/>
      <c r="AG1322" s="23"/>
      <c r="AH1322" s="23"/>
      <c r="AI1322" s="23"/>
      <c r="AJ1322" s="23">
        <v>0</v>
      </c>
      <c r="AK1322" s="23">
        <v>0</v>
      </c>
    </row>
    <row r="1323" spans="2:37" x14ac:dyDescent="0.3"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  <c r="AA1323" s="23"/>
      <c r="AB1323" s="23"/>
      <c r="AC1323" s="23"/>
      <c r="AD1323" s="23"/>
      <c r="AE1323" s="23"/>
      <c r="AF1323" s="23"/>
      <c r="AG1323" s="23"/>
      <c r="AH1323" s="23"/>
      <c r="AI1323" s="23"/>
      <c r="AJ1323" s="23">
        <v>0</v>
      </c>
      <c r="AK1323" s="23">
        <v>0</v>
      </c>
    </row>
    <row r="1324" spans="2:37" x14ac:dyDescent="0.3"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  <c r="AA1324" s="23"/>
      <c r="AB1324" s="23"/>
      <c r="AC1324" s="23"/>
      <c r="AD1324" s="23"/>
      <c r="AE1324" s="23"/>
      <c r="AF1324" s="23"/>
      <c r="AG1324" s="23"/>
      <c r="AH1324" s="23"/>
      <c r="AI1324" s="23"/>
      <c r="AJ1324" s="23">
        <v>0</v>
      </c>
      <c r="AK1324" s="23">
        <v>0</v>
      </c>
    </row>
    <row r="1325" spans="2:37" x14ac:dyDescent="0.3"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  <c r="AA1325" s="23"/>
      <c r="AB1325" s="23"/>
      <c r="AC1325" s="23"/>
      <c r="AD1325" s="23"/>
      <c r="AE1325" s="23"/>
      <c r="AF1325" s="23"/>
      <c r="AG1325" s="23"/>
      <c r="AH1325" s="23"/>
      <c r="AI1325" s="23"/>
      <c r="AJ1325" s="23">
        <v>0</v>
      </c>
      <c r="AK1325" s="23">
        <v>0</v>
      </c>
    </row>
    <row r="1326" spans="2:37" x14ac:dyDescent="0.3"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  <c r="AA1326" s="23"/>
      <c r="AB1326" s="23"/>
      <c r="AC1326" s="23"/>
      <c r="AD1326" s="23"/>
      <c r="AE1326" s="23"/>
      <c r="AF1326" s="23"/>
      <c r="AG1326" s="23"/>
      <c r="AH1326" s="23"/>
      <c r="AI1326" s="23"/>
      <c r="AJ1326" s="23">
        <v>0</v>
      </c>
      <c r="AK1326" s="23">
        <v>0</v>
      </c>
    </row>
    <row r="1327" spans="2:37" x14ac:dyDescent="0.3"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  <c r="AA1327" s="23"/>
      <c r="AB1327" s="23"/>
      <c r="AC1327" s="23"/>
      <c r="AD1327" s="23"/>
      <c r="AE1327" s="23"/>
      <c r="AF1327" s="23"/>
      <c r="AG1327" s="23"/>
      <c r="AH1327" s="23"/>
      <c r="AI1327" s="23"/>
      <c r="AJ1327" s="23">
        <v>0</v>
      </c>
      <c r="AK1327" s="23">
        <v>0</v>
      </c>
    </row>
    <row r="1328" spans="2:37" x14ac:dyDescent="0.3"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  <c r="AA1328" s="23"/>
      <c r="AB1328" s="23"/>
      <c r="AC1328" s="23"/>
      <c r="AD1328" s="23"/>
      <c r="AE1328" s="23"/>
      <c r="AF1328" s="23"/>
      <c r="AG1328" s="23"/>
      <c r="AH1328" s="23"/>
      <c r="AI1328" s="23"/>
      <c r="AJ1328" s="23">
        <v>0</v>
      </c>
      <c r="AK1328" s="23">
        <v>0</v>
      </c>
    </row>
    <row r="1329" spans="2:37" x14ac:dyDescent="0.3"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  <c r="AA1329" s="23"/>
      <c r="AB1329" s="23"/>
      <c r="AC1329" s="23"/>
      <c r="AD1329" s="23"/>
      <c r="AE1329" s="23"/>
      <c r="AF1329" s="23"/>
      <c r="AG1329" s="23"/>
      <c r="AH1329" s="23"/>
      <c r="AI1329" s="23"/>
      <c r="AJ1329" s="23">
        <v>0</v>
      </c>
      <c r="AK1329" s="23">
        <v>0</v>
      </c>
    </row>
    <row r="1330" spans="2:37" x14ac:dyDescent="0.3"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  <c r="AA1330" s="23"/>
      <c r="AB1330" s="23"/>
      <c r="AC1330" s="23"/>
      <c r="AD1330" s="23"/>
      <c r="AE1330" s="23"/>
      <c r="AF1330" s="23"/>
      <c r="AG1330" s="23"/>
      <c r="AH1330" s="23"/>
      <c r="AI1330" s="23"/>
      <c r="AJ1330" s="23">
        <v>0</v>
      </c>
      <c r="AK1330" s="23">
        <v>0</v>
      </c>
    </row>
    <row r="1331" spans="2:37" x14ac:dyDescent="0.3"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  <c r="AA1331" s="23"/>
      <c r="AB1331" s="23"/>
      <c r="AC1331" s="23"/>
      <c r="AD1331" s="23"/>
      <c r="AE1331" s="23"/>
      <c r="AF1331" s="23"/>
      <c r="AG1331" s="23"/>
      <c r="AH1331" s="23"/>
      <c r="AI1331" s="23"/>
      <c r="AJ1331" s="23">
        <v>0</v>
      </c>
      <c r="AK1331" s="23">
        <v>0</v>
      </c>
    </row>
    <row r="1332" spans="2:37" x14ac:dyDescent="0.3"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  <c r="AA1332" s="23"/>
      <c r="AB1332" s="23"/>
      <c r="AC1332" s="23"/>
      <c r="AD1332" s="23"/>
      <c r="AE1332" s="23"/>
      <c r="AF1332" s="23"/>
      <c r="AG1332" s="23"/>
      <c r="AH1332" s="23"/>
      <c r="AI1332" s="23"/>
      <c r="AJ1332" s="23">
        <v>0</v>
      </c>
      <c r="AK1332" s="23">
        <v>0</v>
      </c>
    </row>
    <row r="1333" spans="2:37" x14ac:dyDescent="0.3"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  <c r="AA1333" s="23"/>
      <c r="AB1333" s="23"/>
      <c r="AC1333" s="23"/>
      <c r="AD1333" s="23"/>
      <c r="AE1333" s="23"/>
      <c r="AF1333" s="23"/>
      <c r="AG1333" s="23"/>
      <c r="AH1333" s="23"/>
      <c r="AI1333" s="23"/>
      <c r="AJ1333" s="23">
        <v>0</v>
      </c>
      <c r="AK1333" s="23">
        <v>0</v>
      </c>
    </row>
    <row r="1334" spans="2:37" x14ac:dyDescent="0.3"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  <c r="AA1334" s="23"/>
      <c r="AB1334" s="23"/>
      <c r="AC1334" s="23"/>
      <c r="AD1334" s="23"/>
      <c r="AE1334" s="23"/>
      <c r="AF1334" s="23"/>
      <c r="AG1334" s="23"/>
      <c r="AH1334" s="23"/>
      <c r="AI1334" s="23"/>
      <c r="AJ1334" s="23">
        <v>0</v>
      </c>
      <c r="AK1334" s="23">
        <v>0</v>
      </c>
    </row>
    <row r="1335" spans="2:37" x14ac:dyDescent="0.3"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  <c r="AA1335" s="23"/>
      <c r="AB1335" s="23"/>
      <c r="AC1335" s="23"/>
      <c r="AD1335" s="23"/>
      <c r="AE1335" s="23"/>
      <c r="AF1335" s="23"/>
      <c r="AG1335" s="23"/>
      <c r="AH1335" s="23"/>
      <c r="AI1335" s="23"/>
      <c r="AJ1335" s="23">
        <v>0</v>
      </c>
      <c r="AK1335" s="23">
        <v>0</v>
      </c>
    </row>
    <row r="1336" spans="2:37" x14ac:dyDescent="0.3"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  <c r="AA1336" s="23"/>
      <c r="AB1336" s="23"/>
      <c r="AC1336" s="23"/>
      <c r="AD1336" s="23"/>
      <c r="AE1336" s="23"/>
      <c r="AF1336" s="23"/>
      <c r="AG1336" s="23"/>
      <c r="AH1336" s="23"/>
      <c r="AI1336" s="23"/>
      <c r="AJ1336" s="23">
        <v>0</v>
      </c>
      <c r="AK1336" s="23">
        <v>0</v>
      </c>
    </row>
    <row r="1337" spans="2:37" x14ac:dyDescent="0.3"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  <c r="AA1337" s="23"/>
      <c r="AB1337" s="23"/>
      <c r="AC1337" s="23"/>
      <c r="AD1337" s="23"/>
      <c r="AE1337" s="23"/>
      <c r="AF1337" s="23"/>
      <c r="AG1337" s="23"/>
      <c r="AH1337" s="23"/>
      <c r="AI1337" s="23"/>
      <c r="AJ1337" s="23">
        <v>0</v>
      </c>
      <c r="AK1337" s="23">
        <v>0</v>
      </c>
    </row>
    <row r="1338" spans="2:37" x14ac:dyDescent="0.3"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  <c r="AA1338" s="23"/>
      <c r="AB1338" s="23"/>
      <c r="AC1338" s="23"/>
      <c r="AD1338" s="23"/>
      <c r="AE1338" s="23"/>
      <c r="AF1338" s="23"/>
      <c r="AG1338" s="23"/>
      <c r="AH1338" s="23"/>
      <c r="AI1338" s="23"/>
      <c r="AJ1338" s="23">
        <v>0</v>
      </c>
      <c r="AK1338" s="23">
        <v>0</v>
      </c>
    </row>
    <row r="1339" spans="2:37" x14ac:dyDescent="0.3"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  <c r="AA1339" s="23"/>
      <c r="AB1339" s="23"/>
      <c r="AC1339" s="23"/>
      <c r="AD1339" s="23"/>
      <c r="AE1339" s="23"/>
      <c r="AF1339" s="23"/>
      <c r="AG1339" s="23"/>
      <c r="AH1339" s="23"/>
      <c r="AI1339" s="23"/>
      <c r="AJ1339" s="23">
        <v>0</v>
      </c>
      <c r="AK1339" s="23">
        <v>0</v>
      </c>
    </row>
    <row r="1340" spans="2:37" x14ac:dyDescent="0.3"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  <c r="AA1340" s="23"/>
      <c r="AB1340" s="23"/>
      <c r="AC1340" s="23"/>
      <c r="AD1340" s="23"/>
      <c r="AE1340" s="23"/>
      <c r="AF1340" s="23"/>
      <c r="AG1340" s="23"/>
      <c r="AH1340" s="23"/>
      <c r="AI1340" s="23"/>
      <c r="AJ1340" s="23">
        <v>0</v>
      </c>
      <c r="AK1340" s="23">
        <v>0</v>
      </c>
    </row>
    <row r="1341" spans="2:37" x14ac:dyDescent="0.3"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  <c r="AA1341" s="23"/>
      <c r="AB1341" s="23"/>
      <c r="AC1341" s="23"/>
      <c r="AD1341" s="23"/>
      <c r="AE1341" s="23"/>
      <c r="AF1341" s="23"/>
      <c r="AG1341" s="23"/>
      <c r="AH1341" s="23"/>
      <c r="AI1341" s="23"/>
      <c r="AJ1341" s="23">
        <v>0</v>
      </c>
      <c r="AK1341" s="23">
        <v>0</v>
      </c>
    </row>
    <row r="1342" spans="2:37" x14ac:dyDescent="0.3"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  <c r="AA1342" s="23"/>
      <c r="AB1342" s="23"/>
      <c r="AC1342" s="23"/>
      <c r="AD1342" s="23"/>
      <c r="AE1342" s="23"/>
      <c r="AF1342" s="23"/>
      <c r="AG1342" s="23"/>
      <c r="AH1342" s="23"/>
      <c r="AI1342" s="23"/>
      <c r="AJ1342" s="23">
        <v>0</v>
      </c>
      <c r="AK1342" s="23">
        <v>0</v>
      </c>
    </row>
    <row r="1343" spans="2:37" x14ac:dyDescent="0.3"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  <c r="AA1343" s="23"/>
      <c r="AB1343" s="23"/>
      <c r="AC1343" s="23"/>
      <c r="AD1343" s="23"/>
      <c r="AE1343" s="23"/>
      <c r="AF1343" s="23"/>
      <c r="AG1343" s="23"/>
      <c r="AH1343" s="23"/>
      <c r="AI1343" s="23"/>
      <c r="AJ1343" s="23">
        <v>0</v>
      </c>
      <c r="AK1343" s="23">
        <v>0</v>
      </c>
    </row>
    <row r="1344" spans="2:37" x14ac:dyDescent="0.3"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  <c r="AA1344" s="23"/>
      <c r="AB1344" s="23"/>
      <c r="AC1344" s="23"/>
      <c r="AD1344" s="23"/>
      <c r="AE1344" s="23"/>
      <c r="AF1344" s="23"/>
      <c r="AG1344" s="23"/>
      <c r="AH1344" s="23"/>
      <c r="AI1344" s="23"/>
      <c r="AJ1344" s="23">
        <v>0</v>
      </c>
      <c r="AK1344" s="23">
        <v>0</v>
      </c>
    </row>
    <row r="1345" spans="2:37" x14ac:dyDescent="0.3"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  <c r="AA1345" s="23"/>
      <c r="AB1345" s="23"/>
      <c r="AC1345" s="23"/>
      <c r="AD1345" s="23"/>
      <c r="AE1345" s="23"/>
      <c r="AF1345" s="23"/>
      <c r="AG1345" s="23"/>
      <c r="AH1345" s="23"/>
      <c r="AI1345" s="23"/>
      <c r="AJ1345" s="23">
        <v>0</v>
      </c>
      <c r="AK1345" s="23">
        <v>0</v>
      </c>
    </row>
    <row r="1346" spans="2:37" x14ac:dyDescent="0.3"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  <c r="AA1346" s="23"/>
      <c r="AB1346" s="23"/>
      <c r="AC1346" s="23"/>
      <c r="AD1346" s="23"/>
      <c r="AE1346" s="23"/>
      <c r="AF1346" s="23"/>
      <c r="AG1346" s="23"/>
      <c r="AH1346" s="23"/>
      <c r="AI1346" s="23"/>
      <c r="AJ1346" s="23">
        <v>0</v>
      </c>
      <c r="AK1346" s="23">
        <v>0</v>
      </c>
    </row>
    <row r="1347" spans="2:37" x14ac:dyDescent="0.3"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  <c r="AA1347" s="23"/>
      <c r="AB1347" s="23"/>
      <c r="AC1347" s="23"/>
      <c r="AD1347" s="23"/>
      <c r="AE1347" s="23"/>
      <c r="AF1347" s="23"/>
      <c r="AG1347" s="23"/>
      <c r="AH1347" s="23"/>
      <c r="AI1347" s="23"/>
      <c r="AJ1347" s="23">
        <v>0</v>
      </c>
      <c r="AK1347" s="23">
        <v>0</v>
      </c>
    </row>
    <row r="1348" spans="2:37" x14ac:dyDescent="0.3"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  <c r="AA1348" s="23"/>
      <c r="AB1348" s="23"/>
      <c r="AC1348" s="23"/>
      <c r="AD1348" s="23"/>
      <c r="AE1348" s="23"/>
      <c r="AF1348" s="23"/>
      <c r="AG1348" s="23"/>
      <c r="AH1348" s="23"/>
      <c r="AI1348" s="23"/>
      <c r="AJ1348" s="23">
        <v>0</v>
      </c>
      <c r="AK1348" s="23">
        <v>0</v>
      </c>
    </row>
    <row r="1349" spans="2:37" x14ac:dyDescent="0.3"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  <c r="AA1349" s="23"/>
      <c r="AB1349" s="23"/>
      <c r="AC1349" s="23"/>
      <c r="AD1349" s="23"/>
      <c r="AE1349" s="23"/>
      <c r="AF1349" s="23"/>
      <c r="AG1349" s="23"/>
      <c r="AH1349" s="23"/>
      <c r="AI1349" s="23"/>
      <c r="AJ1349" s="23">
        <v>0</v>
      </c>
      <c r="AK1349" s="23">
        <v>0</v>
      </c>
    </row>
    <row r="1350" spans="2:37" x14ac:dyDescent="0.3"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  <c r="AA1350" s="23"/>
      <c r="AB1350" s="23"/>
      <c r="AC1350" s="23"/>
      <c r="AD1350" s="23"/>
      <c r="AE1350" s="23"/>
      <c r="AF1350" s="23"/>
      <c r="AG1350" s="23"/>
      <c r="AH1350" s="23"/>
      <c r="AI1350" s="23"/>
      <c r="AJ1350" s="23">
        <v>0</v>
      </c>
      <c r="AK1350" s="23">
        <v>0</v>
      </c>
    </row>
    <row r="1351" spans="2:37" x14ac:dyDescent="0.3"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  <c r="AA1351" s="23"/>
      <c r="AB1351" s="23"/>
      <c r="AC1351" s="23"/>
      <c r="AD1351" s="23"/>
      <c r="AE1351" s="23"/>
      <c r="AF1351" s="23"/>
      <c r="AG1351" s="23"/>
      <c r="AH1351" s="23"/>
      <c r="AI1351" s="23"/>
      <c r="AJ1351" s="23">
        <v>0</v>
      </c>
      <c r="AK1351" s="23">
        <v>0</v>
      </c>
    </row>
    <row r="1352" spans="2:37" x14ac:dyDescent="0.3"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  <c r="AA1352" s="23"/>
      <c r="AB1352" s="23"/>
      <c r="AC1352" s="23"/>
      <c r="AD1352" s="23"/>
      <c r="AE1352" s="23"/>
      <c r="AF1352" s="23"/>
      <c r="AG1352" s="23"/>
      <c r="AH1352" s="23"/>
      <c r="AI1352" s="23"/>
      <c r="AJ1352" s="23">
        <v>0</v>
      </c>
      <c r="AK1352" s="23">
        <v>0</v>
      </c>
    </row>
    <row r="1353" spans="2:37" x14ac:dyDescent="0.3"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  <c r="AA1353" s="23"/>
      <c r="AB1353" s="23"/>
      <c r="AC1353" s="23"/>
      <c r="AD1353" s="23"/>
      <c r="AE1353" s="23"/>
      <c r="AF1353" s="23"/>
      <c r="AG1353" s="23"/>
      <c r="AH1353" s="23"/>
      <c r="AI1353" s="23"/>
      <c r="AJ1353" s="23">
        <v>0</v>
      </c>
      <c r="AK1353" s="23">
        <v>0</v>
      </c>
    </row>
    <row r="1354" spans="2:37" x14ac:dyDescent="0.3"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  <c r="AA1354" s="23"/>
      <c r="AB1354" s="23"/>
      <c r="AC1354" s="23"/>
      <c r="AD1354" s="23"/>
      <c r="AE1354" s="23"/>
      <c r="AF1354" s="23"/>
      <c r="AG1354" s="23"/>
      <c r="AH1354" s="23"/>
      <c r="AI1354" s="23"/>
      <c r="AJ1354" s="23">
        <v>0</v>
      </c>
      <c r="AK1354" s="23">
        <v>0</v>
      </c>
    </row>
    <row r="1355" spans="2:37" x14ac:dyDescent="0.3"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  <c r="AA1355" s="23"/>
      <c r="AB1355" s="23"/>
      <c r="AC1355" s="23"/>
      <c r="AD1355" s="23"/>
      <c r="AE1355" s="23"/>
      <c r="AF1355" s="23"/>
      <c r="AG1355" s="23"/>
      <c r="AH1355" s="23"/>
      <c r="AI1355" s="23"/>
      <c r="AJ1355" s="23">
        <v>0</v>
      </c>
      <c r="AK1355" s="23">
        <v>0</v>
      </c>
    </row>
    <row r="1356" spans="2:37" x14ac:dyDescent="0.3"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  <c r="AA1356" s="23"/>
      <c r="AB1356" s="23"/>
      <c r="AC1356" s="23"/>
      <c r="AD1356" s="23"/>
      <c r="AE1356" s="23"/>
      <c r="AF1356" s="23"/>
      <c r="AG1356" s="23"/>
      <c r="AH1356" s="23"/>
      <c r="AI1356" s="23"/>
      <c r="AJ1356" s="23">
        <v>0</v>
      </c>
      <c r="AK1356" s="23">
        <v>0</v>
      </c>
    </row>
    <row r="1357" spans="2:37" x14ac:dyDescent="0.3"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  <c r="AA1357" s="23"/>
      <c r="AB1357" s="23"/>
      <c r="AC1357" s="23"/>
      <c r="AD1357" s="23"/>
      <c r="AE1357" s="23"/>
      <c r="AF1357" s="23"/>
      <c r="AG1357" s="23"/>
      <c r="AH1357" s="23"/>
      <c r="AI1357" s="23"/>
      <c r="AJ1357" s="23">
        <v>0</v>
      </c>
      <c r="AK1357" s="23">
        <v>0</v>
      </c>
    </row>
    <row r="1358" spans="2:37" x14ac:dyDescent="0.3"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  <c r="AA1358" s="23"/>
      <c r="AB1358" s="23"/>
      <c r="AC1358" s="23"/>
      <c r="AD1358" s="23"/>
      <c r="AE1358" s="23"/>
      <c r="AF1358" s="23"/>
      <c r="AG1358" s="23"/>
      <c r="AH1358" s="23"/>
      <c r="AI1358" s="23"/>
      <c r="AJ1358" s="23">
        <v>0</v>
      </c>
      <c r="AK1358" s="23">
        <v>0</v>
      </c>
    </row>
    <row r="1359" spans="2:37" x14ac:dyDescent="0.3"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  <c r="AA1359" s="23"/>
      <c r="AB1359" s="23"/>
      <c r="AC1359" s="23"/>
      <c r="AD1359" s="23"/>
      <c r="AE1359" s="23"/>
      <c r="AF1359" s="23"/>
      <c r="AG1359" s="23"/>
      <c r="AH1359" s="23"/>
      <c r="AI1359" s="23"/>
      <c r="AJ1359" s="23">
        <v>0</v>
      </c>
      <c r="AK1359" s="23">
        <v>0</v>
      </c>
    </row>
    <row r="1360" spans="2:37" x14ac:dyDescent="0.3"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  <c r="AA1360" s="23"/>
      <c r="AB1360" s="23"/>
      <c r="AC1360" s="23"/>
      <c r="AD1360" s="23"/>
      <c r="AE1360" s="23"/>
      <c r="AF1360" s="23"/>
      <c r="AG1360" s="23"/>
      <c r="AH1360" s="23"/>
      <c r="AI1360" s="23"/>
      <c r="AJ1360" s="23">
        <v>0</v>
      </c>
      <c r="AK1360" s="23">
        <v>0</v>
      </c>
    </row>
    <row r="1361" spans="2:37" x14ac:dyDescent="0.3"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  <c r="AA1361" s="23"/>
      <c r="AB1361" s="23"/>
      <c r="AC1361" s="23"/>
      <c r="AD1361" s="23"/>
      <c r="AE1361" s="23"/>
      <c r="AF1361" s="23"/>
      <c r="AG1361" s="23"/>
      <c r="AH1361" s="23"/>
      <c r="AI1361" s="23"/>
      <c r="AJ1361" s="23">
        <v>0</v>
      </c>
      <c r="AK1361" s="23">
        <v>0</v>
      </c>
    </row>
    <row r="1362" spans="2:37" x14ac:dyDescent="0.3"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  <c r="AA1362" s="23"/>
      <c r="AB1362" s="23"/>
      <c r="AC1362" s="23"/>
      <c r="AD1362" s="23"/>
      <c r="AE1362" s="23"/>
      <c r="AF1362" s="23"/>
      <c r="AG1362" s="23"/>
      <c r="AH1362" s="23"/>
      <c r="AI1362" s="23"/>
      <c r="AJ1362" s="23">
        <v>0</v>
      </c>
      <c r="AK1362" s="23">
        <v>0</v>
      </c>
    </row>
    <row r="1363" spans="2:37" x14ac:dyDescent="0.3"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  <c r="AA1363" s="23"/>
      <c r="AB1363" s="23"/>
      <c r="AC1363" s="23"/>
      <c r="AD1363" s="23"/>
      <c r="AE1363" s="23"/>
      <c r="AF1363" s="23"/>
      <c r="AG1363" s="23"/>
      <c r="AH1363" s="23"/>
      <c r="AI1363" s="23"/>
      <c r="AJ1363" s="23">
        <v>0</v>
      </c>
      <c r="AK1363" s="23">
        <v>0</v>
      </c>
    </row>
    <row r="1364" spans="2:37" x14ac:dyDescent="0.3"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  <c r="AA1364" s="23"/>
      <c r="AB1364" s="23"/>
      <c r="AC1364" s="23"/>
      <c r="AD1364" s="23"/>
      <c r="AE1364" s="23"/>
      <c r="AF1364" s="23"/>
      <c r="AG1364" s="23"/>
      <c r="AH1364" s="23"/>
      <c r="AI1364" s="23"/>
      <c r="AJ1364" s="23">
        <v>0</v>
      </c>
      <c r="AK1364" s="23">
        <v>0</v>
      </c>
    </row>
    <row r="1365" spans="2:37" x14ac:dyDescent="0.3"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  <c r="AA1365" s="23"/>
      <c r="AB1365" s="23"/>
      <c r="AC1365" s="23"/>
      <c r="AD1365" s="23"/>
      <c r="AE1365" s="23"/>
      <c r="AF1365" s="23"/>
      <c r="AG1365" s="23"/>
      <c r="AH1365" s="23"/>
      <c r="AI1365" s="23"/>
      <c r="AJ1365" s="23">
        <v>0</v>
      </c>
      <c r="AK1365" s="23">
        <v>0</v>
      </c>
    </row>
    <row r="1366" spans="2:37" x14ac:dyDescent="0.3"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  <c r="AA1366" s="23"/>
      <c r="AB1366" s="23"/>
      <c r="AC1366" s="23"/>
      <c r="AD1366" s="23"/>
      <c r="AE1366" s="23"/>
      <c r="AF1366" s="23"/>
      <c r="AG1366" s="23"/>
      <c r="AH1366" s="23"/>
      <c r="AI1366" s="23"/>
      <c r="AJ1366" s="23">
        <v>0</v>
      </c>
      <c r="AK1366" s="23">
        <v>0</v>
      </c>
    </row>
    <row r="1367" spans="2:37" x14ac:dyDescent="0.3"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  <c r="AA1367" s="23"/>
      <c r="AB1367" s="23"/>
      <c r="AC1367" s="23"/>
      <c r="AD1367" s="23"/>
      <c r="AE1367" s="23"/>
      <c r="AF1367" s="23"/>
      <c r="AG1367" s="23"/>
      <c r="AH1367" s="23"/>
      <c r="AI1367" s="23"/>
      <c r="AJ1367" s="23">
        <v>0</v>
      </c>
      <c r="AK1367" s="23">
        <v>0</v>
      </c>
    </row>
    <row r="1368" spans="2:37" x14ac:dyDescent="0.3"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  <c r="AA1368" s="23"/>
      <c r="AB1368" s="23"/>
      <c r="AC1368" s="23"/>
      <c r="AD1368" s="23"/>
      <c r="AE1368" s="23"/>
      <c r="AF1368" s="23"/>
      <c r="AG1368" s="23"/>
      <c r="AH1368" s="23"/>
      <c r="AI1368" s="23"/>
      <c r="AJ1368" s="23">
        <v>0</v>
      </c>
      <c r="AK1368" s="23">
        <v>0</v>
      </c>
    </row>
    <row r="1369" spans="2:37" x14ac:dyDescent="0.3"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  <c r="AA1369" s="23"/>
      <c r="AB1369" s="23"/>
      <c r="AC1369" s="23"/>
      <c r="AD1369" s="23"/>
      <c r="AE1369" s="23"/>
      <c r="AF1369" s="23"/>
      <c r="AG1369" s="23"/>
      <c r="AH1369" s="23"/>
      <c r="AI1369" s="23"/>
      <c r="AJ1369" s="23">
        <v>0</v>
      </c>
      <c r="AK1369" s="23">
        <v>0</v>
      </c>
    </row>
    <row r="1370" spans="2:37" x14ac:dyDescent="0.3"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  <c r="AA1370" s="23"/>
      <c r="AB1370" s="23"/>
      <c r="AC1370" s="23"/>
      <c r="AD1370" s="23"/>
      <c r="AE1370" s="23"/>
      <c r="AF1370" s="23"/>
      <c r="AG1370" s="23"/>
      <c r="AH1370" s="23"/>
      <c r="AI1370" s="23"/>
      <c r="AJ1370" s="23">
        <v>0</v>
      </c>
      <c r="AK1370" s="23">
        <v>0</v>
      </c>
    </row>
    <row r="1371" spans="2:37" x14ac:dyDescent="0.3"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  <c r="AA1371" s="23"/>
      <c r="AB1371" s="23"/>
      <c r="AC1371" s="23"/>
      <c r="AD1371" s="23"/>
      <c r="AE1371" s="23"/>
      <c r="AF1371" s="23"/>
      <c r="AG1371" s="23"/>
      <c r="AH1371" s="23"/>
      <c r="AI1371" s="23"/>
      <c r="AJ1371" s="23">
        <v>0</v>
      </c>
      <c r="AK1371" s="23">
        <v>0</v>
      </c>
    </row>
    <row r="1372" spans="2:37" x14ac:dyDescent="0.3"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  <c r="AA1372" s="23"/>
      <c r="AB1372" s="23"/>
      <c r="AC1372" s="23"/>
      <c r="AD1372" s="23"/>
      <c r="AE1372" s="23"/>
      <c r="AF1372" s="23"/>
      <c r="AG1372" s="23"/>
      <c r="AH1372" s="23"/>
      <c r="AI1372" s="23"/>
      <c r="AJ1372" s="23">
        <v>0</v>
      </c>
      <c r="AK1372" s="23">
        <v>0</v>
      </c>
    </row>
    <row r="1373" spans="2:37" x14ac:dyDescent="0.3"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  <c r="AA1373" s="23"/>
      <c r="AB1373" s="23"/>
      <c r="AC1373" s="23"/>
      <c r="AD1373" s="23"/>
      <c r="AE1373" s="23"/>
      <c r="AF1373" s="23"/>
      <c r="AG1373" s="23"/>
      <c r="AH1373" s="23"/>
      <c r="AI1373" s="23"/>
      <c r="AJ1373" s="23">
        <v>0</v>
      </c>
      <c r="AK1373" s="23">
        <v>0</v>
      </c>
    </row>
    <row r="1374" spans="2:37" x14ac:dyDescent="0.3"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  <c r="AA1374" s="23"/>
      <c r="AB1374" s="23"/>
      <c r="AC1374" s="23"/>
      <c r="AD1374" s="23"/>
      <c r="AE1374" s="23"/>
      <c r="AF1374" s="23"/>
      <c r="AG1374" s="23"/>
      <c r="AH1374" s="23"/>
      <c r="AI1374" s="23"/>
      <c r="AJ1374" s="23">
        <v>0</v>
      </c>
      <c r="AK1374" s="23">
        <v>0</v>
      </c>
    </row>
    <row r="1375" spans="2:37" x14ac:dyDescent="0.3"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  <c r="AA1375" s="23"/>
      <c r="AB1375" s="23"/>
      <c r="AC1375" s="23"/>
      <c r="AD1375" s="23"/>
      <c r="AE1375" s="23"/>
      <c r="AF1375" s="23"/>
      <c r="AG1375" s="23"/>
      <c r="AH1375" s="23"/>
      <c r="AI1375" s="23"/>
      <c r="AJ1375" s="23">
        <v>0</v>
      </c>
      <c r="AK1375" s="23">
        <v>0</v>
      </c>
    </row>
    <row r="1376" spans="2:37" x14ac:dyDescent="0.3"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  <c r="AA1376" s="23"/>
      <c r="AB1376" s="23"/>
      <c r="AC1376" s="23"/>
      <c r="AD1376" s="23"/>
      <c r="AE1376" s="23"/>
      <c r="AF1376" s="23"/>
      <c r="AG1376" s="23"/>
      <c r="AH1376" s="23"/>
      <c r="AI1376" s="23"/>
      <c r="AJ1376" s="23">
        <v>0</v>
      </c>
      <c r="AK1376" s="23">
        <v>0</v>
      </c>
    </row>
    <row r="1377" spans="2:37" x14ac:dyDescent="0.3"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  <c r="AA1377" s="23"/>
      <c r="AB1377" s="23"/>
      <c r="AC1377" s="23"/>
      <c r="AD1377" s="23"/>
      <c r="AE1377" s="23"/>
      <c r="AF1377" s="23"/>
      <c r="AG1377" s="23"/>
      <c r="AH1377" s="23"/>
      <c r="AI1377" s="23"/>
      <c r="AJ1377" s="23">
        <v>0</v>
      </c>
      <c r="AK1377" s="23">
        <v>0</v>
      </c>
    </row>
    <row r="1378" spans="2:37" x14ac:dyDescent="0.3"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  <c r="AA1378" s="23"/>
      <c r="AB1378" s="23"/>
      <c r="AC1378" s="23"/>
      <c r="AD1378" s="23"/>
      <c r="AE1378" s="23"/>
      <c r="AF1378" s="23"/>
      <c r="AG1378" s="23"/>
      <c r="AH1378" s="23"/>
      <c r="AI1378" s="23"/>
      <c r="AJ1378" s="23">
        <v>0</v>
      </c>
      <c r="AK1378" s="23">
        <v>0</v>
      </c>
    </row>
    <row r="1379" spans="2:37" x14ac:dyDescent="0.3"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  <c r="AA1379" s="23"/>
      <c r="AB1379" s="23"/>
      <c r="AC1379" s="23"/>
      <c r="AD1379" s="23"/>
      <c r="AE1379" s="23"/>
      <c r="AF1379" s="23"/>
      <c r="AG1379" s="23"/>
      <c r="AH1379" s="23"/>
      <c r="AI1379" s="23"/>
      <c r="AJ1379" s="23">
        <v>0</v>
      </c>
      <c r="AK1379" s="23">
        <v>0</v>
      </c>
    </row>
    <row r="1380" spans="2:37" x14ac:dyDescent="0.3"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  <c r="AA1380" s="23"/>
      <c r="AB1380" s="23"/>
      <c r="AC1380" s="23"/>
      <c r="AD1380" s="23"/>
      <c r="AE1380" s="23"/>
      <c r="AF1380" s="23"/>
      <c r="AG1380" s="23"/>
      <c r="AH1380" s="23"/>
      <c r="AI1380" s="23"/>
      <c r="AJ1380" s="23">
        <v>0</v>
      </c>
      <c r="AK1380" s="23">
        <v>0</v>
      </c>
    </row>
    <row r="1381" spans="2:37" x14ac:dyDescent="0.3"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  <c r="AA1381" s="23"/>
      <c r="AB1381" s="23"/>
      <c r="AC1381" s="23"/>
      <c r="AD1381" s="23"/>
      <c r="AE1381" s="23"/>
      <c r="AF1381" s="23"/>
      <c r="AG1381" s="23"/>
      <c r="AH1381" s="23"/>
      <c r="AI1381" s="23"/>
      <c r="AJ1381" s="23">
        <v>0</v>
      </c>
      <c r="AK1381" s="23">
        <v>0</v>
      </c>
    </row>
    <row r="1382" spans="2:37" x14ac:dyDescent="0.3"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  <c r="AA1382" s="23"/>
      <c r="AB1382" s="23"/>
      <c r="AC1382" s="23"/>
      <c r="AD1382" s="23"/>
      <c r="AE1382" s="23"/>
      <c r="AF1382" s="23"/>
      <c r="AG1382" s="23"/>
      <c r="AH1382" s="23"/>
      <c r="AI1382" s="23"/>
      <c r="AJ1382" s="23">
        <v>0</v>
      </c>
      <c r="AK1382" s="23">
        <v>0</v>
      </c>
    </row>
    <row r="1383" spans="2:37" x14ac:dyDescent="0.3"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  <c r="AA1383" s="23"/>
      <c r="AB1383" s="23"/>
      <c r="AC1383" s="23"/>
      <c r="AD1383" s="23"/>
      <c r="AE1383" s="23"/>
      <c r="AF1383" s="23"/>
      <c r="AG1383" s="23"/>
      <c r="AH1383" s="23"/>
      <c r="AI1383" s="23"/>
      <c r="AJ1383" s="23">
        <v>0</v>
      </c>
      <c r="AK1383" s="23">
        <v>0</v>
      </c>
    </row>
    <row r="1384" spans="2:37" x14ac:dyDescent="0.3"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  <c r="AA1384" s="23"/>
      <c r="AB1384" s="23"/>
      <c r="AC1384" s="23"/>
      <c r="AD1384" s="23"/>
      <c r="AE1384" s="23"/>
      <c r="AF1384" s="23"/>
      <c r="AG1384" s="23"/>
      <c r="AH1384" s="23"/>
      <c r="AI1384" s="23"/>
      <c r="AJ1384" s="23">
        <v>0</v>
      </c>
      <c r="AK1384" s="23">
        <v>0</v>
      </c>
    </row>
    <row r="1385" spans="2:37" x14ac:dyDescent="0.3"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  <c r="AA1385" s="23"/>
      <c r="AB1385" s="23"/>
      <c r="AC1385" s="23"/>
      <c r="AD1385" s="23"/>
      <c r="AE1385" s="23"/>
      <c r="AF1385" s="23"/>
      <c r="AG1385" s="23"/>
      <c r="AH1385" s="23"/>
      <c r="AI1385" s="23"/>
      <c r="AJ1385" s="23">
        <v>0</v>
      </c>
      <c r="AK1385" s="23">
        <v>0</v>
      </c>
    </row>
    <row r="1386" spans="2:37" x14ac:dyDescent="0.3"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  <c r="AA1386" s="23"/>
      <c r="AB1386" s="23"/>
      <c r="AC1386" s="23"/>
      <c r="AD1386" s="23"/>
      <c r="AE1386" s="23"/>
      <c r="AF1386" s="23"/>
      <c r="AG1386" s="23"/>
      <c r="AH1386" s="23"/>
      <c r="AI1386" s="23"/>
      <c r="AJ1386" s="23">
        <v>0</v>
      </c>
      <c r="AK1386" s="23">
        <v>0</v>
      </c>
    </row>
    <row r="1387" spans="2:37" x14ac:dyDescent="0.3"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  <c r="AA1387" s="23"/>
      <c r="AB1387" s="23"/>
      <c r="AC1387" s="23"/>
      <c r="AD1387" s="23"/>
      <c r="AE1387" s="23"/>
      <c r="AF1387" s="23"/>
      <c r="AG1387" s="23"/>
      <c r="AH1387" s="23"/>
      <c r="AI1387" s="23"/>
      <c r="AJ1387" s="23">
        <v>0</v>
      </c>
      <c r="AK1387" s="23">
        <v>0</v>
      </c>
    </row>
    <row r="1388" spans="2:37" x14ac:dyDescent="0.3"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  <c r="AA1388" s="23"/>
      <c r="AB1388" s="23"/>
      <c r="AC1388" s="23"/>
      <c r="AD1388" s="23"/>
      <c r="AE1388" s="23"/>
      <c r="AF1388" s="23"/>
      <c r="AG1388" s="23"/>
      <c r="AH1388" s="23"/>
      <c r="AI1388" s="23"/>
      <c r="AJ1388" s="23">
        <v>0</v>
      </c>
      <c r="AK1388" s="23">
        <v>0</v>
      </c>
    </row>
    <row r="1389" spans="2:37" x14ac:dyDescent="0.3"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  <c r="AA1389" s="23"/>
      <c r="AB1389" s="23"/>
      <c r="AC1389" s="23"/>
      <c r="AD1389" s="23"/>
      <c r="AE1389" s="23"/>
      <c r="AF1389" s="23"/>
      <c r="AG1389" s="23"/>
      <c r="AH1389" s="23"/>
      <c r="AI1389" s="23"/>
      <c r="AJ1389" s="23">
        <v>0</v>
      </c>
      <c r="AK1389" s="23">
        <v>0</v>
      </c>
    </row>
    <row r="1390" spans="2:37" x14ac:dyDescent="0.3"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  <c r="AA1390" s="23"/>
      <c r="AB1390" s="23"/>
      <c r="AC1390" s="23"/>
      <c r="AD1390" s="23"/>
      <c r="AE1390" s="23"/>
      <c r="AF1390" s="23"/>
      <c r="AG1390" s="23"/>
      <c r="AH1390" s="23"/>
      <c r="AI1390" s="23"/>
      <c r="AJ1390" s="23">
        <v>0</v>
      </c>
      <c r="AK1390" s="23">
        <v>0</v>
      </c>
    </row>
    <row r="1391" spans="2:37" x14ac:dyDescent="0.3"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  <c r="AA1391" s="23"/>
      <c r="AB1391" s="23"/>
      <c r="AC1391" s="23"/>
      <c r="AD1391" s="23"/>
      <c r="AE1391" s="23"/>
      <c r="AF1391" s="23"/>
      <c r="AG1391" s="23"/>
      <c r="AH1391" s="23"/>
      <c r="AI1391" s="23"/>
      <c r="AJ1391" s="23">
        <v>0</v>
      </c>
      <c r="AK1391" s="23">
        <v>0</v>
      </c>
    </row>
    <row r="1392" spans="2:37" x14ac:dyDescent="0.3"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  <c r="AA1392" s="23"/>
      <c r="AB1392" s="23"/>
      <c r="AC1392" s="23"/>
      <c r="AD1392" s="23"/>
      <c r="AE1392" s="23"/>
      <c r="AF1392" s="23"/>
      <c r="AG1392" s="23"/>
      <c r="AH1392" s="23"/>
      <c r="AI1392" s="23"/>
      <c r="AJ1392" s="23">
        <v>0</v>
      </c>
      <c r="AK1392" s="23">
        <v>0</v>
      </c>
    </row>
    <row r="1393" spans="2:37" x14ac:dyDescent="0.3"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  <c r="AA1393" s="23"/>
      <c r="AB1393" s="23"/>
      <c r="AC1393" s="23"/>
      <c r="AD1393" s="23"/>
      <c r="AE1393" s="23"/>
      <c r="AF1393" s="23"/>
      <c r="AG1393" s="23"/>
      <c r="AH1393" s="23"/>
      <c r="AI1393" s="23"/>
      <c r="AJ1393" s="23">
        <v>0</v>
      </c>
      <c r="AK1393" s="23">
        <v>0</v>
      </c>
    </row>
    <row r="1394" spans="2:37" x14ac:dyDescent="0.3"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  <c r="AA1394" s="23"/>
      <c r="AB1394" s="23"/>
      <c r="AC1394" s="23"/>
      <c r="AD1394" s="23"/>
      <c r="AE1394" s="23"/>
      <c r="AF1394" s="23"/>
      <c r="AG1394" s="23"/>
      <c r="AH1394" s="23"/>
      <c r="AI1394" s="23"/>
      <c r="AJ1394" s="23">
        <v>0</v>
      </c>
      <c r="AK1394" s="23">
        <v>0</v>
      </c>
    </row>
    <row r="1395" spans="2:37" x14ac:dyDescent="0.3"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  <c r="AA1395" s="23"/>
      <c r="AB1395" s="23"/>
      <c r="AC1395" s="23"/>
      <c r="AD1395" s="23"/>
      <c r="AE1395" s="23"/>
      <c r="AF1395" s="23"/>
      <c r="AG1395" s="23"/>
      <c r="AH1395" s="23"/>
      <c r="AI1395" s="23"/>
      <c r="AJ1395" s="23">
        <v>0</v>
      </c>
      <c r="AK1395" s="23">
        <v>0</v>
      </c>
    </row>
    <row r="1396" spans="2:37" x14ac:dyDescent="0.3"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  <c r="AA1396" s="23"/>
      <c r="AB1396" s="23"/>
      <c r="AC1396" s="23"/>
      <c r="AD1396" s="23"/>
      <c r="AE1396" s="23"/>
      <c r="AF1396" s="23"/>
      <c r="AG1396" s="23"/>
      <c r="AH1396" s="23"/>
      <c r="AI1396" s="23"/>
      <c r="AJ1396" s="23">
        <v>0</v>
      </c>
      <c r="AK1396" s="23">
        <v>0</v>
      </c>
    </row>
    <row r="1397" spans="2:37" x14ac:dyDescent="0.3"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  <c r="AA1397" s="23"/>
      <c r="AB1397" s="23"/>
      <c r="AC1397" s="23"/>
      <c r="AD1397" s="23"/>
      <c r="AE1397" s="23"/>
      <c r="AF1397" s="23"/>
      <c r="AG1397" s="23"/>
      <c r="AH1397" s="23"/>
      <c r="AI1397" s="23"/>
      <c r="AJ1397" s="23">
        <v>0</v>
      </c>
      <c r="AK1397" s="23">
        <v>0</v>
      </c>
    </row>
    <row r="1398" spans="2:37" x14ac:dyDescent="0.3"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  <c r="AA1398" s="23"/>
      <c r="AB1398" s="23"/>
      <c r="AC1398" s="23"/>
      <c r="AD1398" s="23"/>
      <c r="AE1398" s="23"/>
      <c r="AF1398" s="23"/>
      <c r="AG1398" s="23"/>
      <c r="AH1398" s="23"/>
      <c r="AI1398" s="23"/>
      <c r="AJ1398" s="23">
        <v>0</v>
      </c>
      <c r="AK1398" s="23">
        <v>0</v>
      </c>
    </row>
    <row r="1399" spans="2:37" x14ac:dyDescent="0.3"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  <c r="AA1399" s="23"/>
      <c r="AB1399" s="23"/>
      <c r="AC1399" s="23"/>
      <c r="AD1399" s="23"/>
      <c r="AE1399" s="23"/>
      <c r="AF1399" s="23"/>
      <c r="AG1399" s="23"/>
      <c r="AH1399" s="23"/>
      <c r="AI1399" s="23"/>
      <c r="AJ1399" s="23">
        <v>0</v>
      </c>
      <c r="AK1399" s="23">
        <v>0</v>
      </c>
    </row>
    <row r="1400" spans="2:37" x14ac:dyDescent="0.3"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  <c r="AA1400" s="23"/>
      <c r="AB1400" s="23"/>
      <c r="AC1400" s="23"/>
      <c r="AD1400" s="23"/>
      <c r="AE1400" s="23"/>
      <c r="AF1400" s="23"/>
      <c r="AG1400" s="23"/>
      <c r="AH1400" s="23"/>
      <c r="AI1400" s="23"/>
      <c r="AJ1400" s="23">
        <v>0</v>
      </c>
      <c r="AK1400" s="23">
        <v>0</v>
      </c>
    </row>
    <row r="1401" spans="2:37" x14ac:dyDescent="0.3"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  <c r="AA1401" s="23"/>
      <c r="AB1401" s="23"/>
      <c r="AC1401" s="23"/>
      <c r="AD1401" s="23"/>
      <c r="AE1401" s="23"/>
      <c r="AF1401" s="23"/>
      <c r="AG1401" s="23"/>
      <c r="AH1401" s="23"/>
      <c r="AI1401" s="23"/>
      <c r="AJ1401" s="23">
        <v>0</v>
      </c>
      <c r="AK1401" s="23">
        <v>0</v>
      </c>
    </row>
    <row r="1402" spans="2:37" x14ac:dyDescent="0.3"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  <c r="AA1402" s="23"/>
      <c r="AB1402" s="23"/>
      <c r="AC1402" s="23"/>
      <c r="AD1402" s="23"/>
      <c r="AE1402" s="23"/>
      <c r="AF1402" s="23"/>
      <c r="AG1402" s="23"/>
      <c r="AH1402" s="23"/>
      <c r="AI1402" s="23"/>
      <c r="AJ1402" s="23">
        <v>0</v>
      </c>
      <c r="AK1402" s="23">
        <v>0</v>
      </c>
    </row>
    <row r="1403" spans="2:37" x14ac:dyDescent="0.3"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  <c r="AA1403" s="23"/>
      <c r="AB1403" s="23"/>
      <c r="AC1403" s="23"/>
      <c r="AD1403" s="23"/>
      <c r="AE1403" s="23"/>
      <c r="AF1403" s="23"/>
      <c r="AG1403" s="23"/>
      <c r="AH1403" s="23"/>
      <c r="AI1403" s="23"/>
      <c r="AJ1403" s="23">
        <v>0</v>
      </c>
      <c r="AK1403" s="23">
        <v>0</v>
      </c>
    </row>
    <row r="1404" spans="2:37" x14ac:dyDescent="0.3"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  <c r="AA1404" s="23"/>
      <c r="AB1404" s="23"/>
      <c r="AC1404" s="23"/>
      <c r="AD1404" s="23"/>
      <c r="AE1404" s="23"/>
      <c r="AF1404" s="23"/>
      <c r="AG1404" s="23"/>
      <c r="AH1404" s="23"/>
      <c r="AI1404" s="23"/>
      <c r="AJ1404" s="23">
        <v>0</v>
      </c>
      <c r="AK1404" s="23">
        <v>0</v>
      </c>
    </row>
    <row r="1405" spans="2:37" x14ac:dyDescent="0.3"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  <c r="AA1405" s="23"/>
      <c r="AB1405" s="23"/>
      <c r="AC1405" s="23"/>
      <c r="AD1405" s="23"/>
      <c r="AE1405" s="23"/>
      <c r="AF1405" s="23"/>
      <c r="AG1405" s="23"/>
      <c r="AH1405" s="23"/>
      <c r="AI1405" s="23"/>
      <c r="AJ1405" s="23">
        <v>0</v>
      </c>
      <c r="AK1405" s="23">
        <v>0</v>
      </c>
    </row>
    <row r="1406" spans="2:37" x14ac:dyDescent="0.3"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  <c r="AA1406" s="23"/>
      <c r="AB1406" s="23"/>
      <c r="AC1406" s="23"/>
      <c r="AD1406" s="23"/>
      <c r="AE1406" s="23"/>
      <c r="AF1406" s="23"/>
      <c r="AG1406" s="23"/>
      <c r="AH1406" s="23"/>
      <c r="AI1406" s="23"/>
      <c r="AJ1406" s="23">
        <v>0</v>
      </c>
      <c r="AK1406" s="23">
        <v>0</v>
      </c>
    </row>
    <row r="1407" spans="2:37" x14ac:dyDescent="0.3"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  <c r="AA1407" s="23"/>
      <c r="AB1407" s="23"/>
      <c r="AC1407" s="23"/>
      <c r="AD1407" s="23"/>
      <c r="AE1407" s="23"/>
      <c r="AF1407" s="23"/>
      <c r="AG1407" s="23"/>
      <c r="AH1407" s="23"/>
      <c r="AI1407" s="23"/>
      <c r="AJ1407" s="23">
        <v>0</v>
      </c>
      <c r="AK1407" s="23">
        <v>0</v>
      </c>
    </row>
    <row r="1408" spans="2:37" x14ac:dyDescent="0.3"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  <c r="AA1408" s="23"/>
      <c r="AB1408" s="23"/>
      <c r="AC1408" s="23"/>
      <c r="AD1408" s="23"/>
      <c r="AE1408" s="23"/>
      <c r="AF1408" s="23"/>
      <c r="AG1408" s="23"/>
      <c r="AH1408" s="23"/>
      <c r="AI1408" s="23"/>
      <c r="AJ1408" s="23">
        <v>0</v>
      </c>
      <c r="AK1408" s="23">
        <v>0</v>
      </c>
    </row>
    <row r="1409" spans="2:37" x14ac:dyDescent="0.3"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  <c r="AA1409" s="23"/>
      <c r="AB1409" s="23"/>
      <c r="AC1409" s="23"/>
      <c r="AD1409" s="23"/>
      <c r="AE1409" s="23"/>
      <c r="AF1409" s="23"/>
      <c r="AG1409" s="23"/>
      <c r="AH1409" s="23"/>
      <c r="AI1409" s="23"/>
      <c r="AJ1409" s="23">
        <v>0</v>
      </c>
      <c r="AK1409" s="23">
        <v>0</v>
      </c>
    </row>
    <row r="1410" spans="2:37" x14ac:dyDescent="0.3"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  <c r="AA1410" s="23"/>
      <c r="AB1410" s="23"/>
      <c r="AC1410" s="23"/>
      <c r="AD1410" s="23"/>
      <c r="AE1410" s="23"/>
      <c r="AF1410" s="23"/>
      <c r="AG1410" s="23"/>
      <c r="AH1410" s="23"/>
      <c r="AI1410" s="23"/>
      <c r="AJ1410" s="23">
        <v>0</v>
      </c>
      <c r="AK1410" s="23">
        <v>0</v>
      </c>
    </row>
    <row r="1411" spans="2:37" x14ac:dyDescent="0.3"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  <c r="AA1411" s="23"/>
      <c r="AB1411" s="23"/>
      <c r="AC1411" s="23"/>
      <c r="AD1411" s="23"/>
      <c r="AE1411" s="23"/>
      <c r="AF1411" s="23"/>
      <c r="AG1411" s="23"/>
      <c r="AH1411" s="23"/>
      <c r="AI1411" s="23"/>
      <c r="AJ1411" s="23">
        <v>0</v>
      </c>
      <c r="AK1411" s="23">
        <v>0</v>
      </c>
    </row>
    <row r="1412" spans="2:37" x14ac:dyDescent="0.3"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  <c r="AA1412" s="23"/>
      <c r="AB1412" s="23"/>
      <c r="AC1412" s="23"/>
      <c r="AD1412" s="23"/>
      <c r="AE1412" s="23"/>
      <c r="AF1412" s="23"/>
      <c r="AG1412" s="23"/>
      <c r="AH1412" s="23"/>
      <c r="AI1412" s="23"/>
      <c r="AJ1412" s="23">
        <v>0</v>
      </c>
      <c r="AK1412" s="23">
        <v>0</v>
      </c>
    </row>
    <row r="1413" spans="2:37" x14ac:dyDescent="0.3"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  <c r="AA1413" s="23"/>
      <c r="AB1413" s="23"/>
      <c r="AC1413" s="23"/>
      <c r="AD1413" s="23"/>
      <c r="AE1413" s="23"/>
      <c r="AF1413" s="23"/>
      <c r="AG1413" s="23"/>
      <c r="AH1413" s="23"/>
      <c r="AI1413" s="23"/>
      <c r="AJ1413" s="23">
        <v>0</v>
      </c>
      <c r="AK1413" s="23">
        <v>0</v>
      </c>
    </row>
    <row r="1414" spans="2:37" x14ac:dyDescent="0.3"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  <c r="AA1414" s="23"/>
      <c r="AB1414" s="23"/>
      <c r="AC1414" s="23"/>
      <c r="AD1414" s="23"/>
      <c r="AE1414" s="23"/>
      <c r="AF1414" s="23"/>
      <c r="AG1414" s="23"/>
      <c r="AH1414" s="23"/>
      <c r="AI1414" s="23"/>
      <c r="AJ1414" s="23">
        <v>0</v>
      </c>
      <c r="AK1414" s="23">
        <v>0</v>
      </c>
    </row>
    <row r="1415" spans="2:37" x14ac:dyDescent="0.3"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  <c r="AA1415" s="23"/>
      <c r="AB1415" s="23"/>
      <c r="AC1415" s="23"/>
      <c r="AD1415" s="23"/>
      <c r="AE1415" s="23"/>
      <c r="AF1415" s="23"/>
      <c r="AG1415" s="23"/>
      <c r="AH1415" s="23"/>
      <c r="AI1415" s="23"/>
      <c r="AJ1415" s="23">
        <v>0</v>
      </c>
      <c r="AK1415" s="23">
        <v>0</v>
      </c>
    </row>
    <row r="1416" spans="2:37" x14ac:dyDescent="0.3"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  <c r="AA1416" s="23"/>
      <c r="AB1416" s="23"/>
      <c r="AC1416" s="23"/>
      <c r="AD1416" s="23"/>
      <c r="AE1416" s="23"/>
      <c r="AF1416" s="23"/>
      <c r="AG1416" s="23"/>
      <c r="AH1416" s="23"/>
      <c r="AI1416" s="23"/>
      <c r="AJ1416" s="23">
        <v>0</v>
      </c>
      <c r="AK1416" s="23">
        <v>0</v>
      </c>
    </row>
    <row r="1417" spans="2:37" x14ac:dyDescent="0.3"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  <c r="AA1417" s="23"/>
      <c r="AB1417" s="23"/>
      <c r="AC1417" s="23"/>
      <c r="AD1417" s="23"/>
      <c r="AE1417" s="23"/>
      <c r="AF1417" s="23"/>
      <c r="AG1417" s="23"/>
      <c r="AH1417" s="23"/>
      <c r="AI1417" s="23"/>
      <c r="AJ1417" s="23">
        <v>0</v>
      </c>
      <c r="AK1417" s="23">
        <v>0</v>
      </c>
    </row>
    <row r="1418" spans="2:37" x14ac:dyDescent="0.3"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  <c r="AA1418" s="23"/>
      <c r="AB1418" s="23"/>
      <c r="AC1418" s="23"/>
      <c r="AD1418" s="23"/>
      <c r="AE1418" s="23"/>
      <c r="AF1418" s="23"/>
      <c r="AG1418" s="23"/>
      <c r="AH1418" s="23"/>
      <c r="AI1418" s="23"/>
      <c r="AJ1418" s="23">
        <v>0</v>
      </c>
      <c r="AK1418" s="23">
        <v>0</v>
      </c>
    </row>
    <row r="1419" spans="2:37" x14ac:dyDescent="0.3"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  <c r="AA1419" s="23"/>
      <c r="AB1419" s="23"/>
      <c r="AC1419" s="23"/>
      <c r="AD1419" s="23"/>
      <c r="AE1419" s="23"/>
      <c r="AF1419" s="23"/>
      <c r="AG1419" s="23"/>
      <c r="AH1419" s="23"/>
      <c r="AI1419" s="23"/>
      <c r="AJ1419" s="23">
        <v>0</v>
      </c>
      <c r="AK1419" s="23">
        <v>0</v>
      </c>
    </row>
    <row r="1420" spans="2:37" x14ac:dyDescent="0.3"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  <c r="AA1420" s="23"/>
      <c r="AB1420" s="23"/>
      <c r="AC1420" s="23"/>
      <c r="AD1420" s="23"/>
      <c r="AE1420" s="23"/>
      <c r="AF1420" s="23"/>
      <c r="AG1420" s="23"/>
      <c r="AH1420" s="23"/>
      <c r="AI1420" s="23"/>
      <c r="AJ1420" s="23">
        <v>0</v>
      </c>
      <c r="AK1420" s="23">
        <v>0</v>
      </c>
    </row>
    <row r="1421" spans="2:37" x14ac:dyDescent="0.3"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  <c r="AA1421" s="23"/>
      <c r="AB1421" s="23"/>
      <c r="AC1421" s="23"/>
      <c r="AD1421" s="23"/>
      <c r="AE1421" s="23"/>
      <c r="AF1421" s="23"/>
      <c r="AG1421" s="23"/>
      <c r="AH1421" s="23"/>
      <c r="AI1421" s="23"/>
      <c r="AJ1421" s="23">
        <v>0</v>
      </c>
      <c r="AK1421" s="23">
        <v>0</v>
      </c>
    </row>
    <row r="1422" spans="2:37" x14ac:dyDescent="0.3"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  <c r="AA1422" s="23"/>
      <c r="AB1422" s="23"/>
      <c r="AC1422" s="23"/>
      <c r="AD1422" s="23"/>
      <c r="AE1422" s="23"/>
      <c r="AF1422" s="23"/>
      <c r="AG1422" s="23"/>
      <c r="AH1422" s="23"/>
      <c r="AI1422" s="23"/>
      <c r="AJ1422" s="23">
        <v>0</v>
      </c>
      <c r="AK1422" s="23">
        <v>0</v>
      </c>
    </row>
    <row r="1423" spans="2:37" x14ac:dyDescent="0.3"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  <c r="AA1423" s="23"/>
      <c r="AB1423" s="23"/>
      <c r="AC1423" s="23"/>
      <c r="AD1423" s="23"/>
      <c r="AE1423" s="23"/>
      <c r="AF1423" s="23"/>
      <c r="AG1423" s="23"/>
      <c r="AH1423" s="23"/>
      <c r="AI1423" s="23"/>
      <c r="AJ1423" s="23">
        <v>0</v>
      </c>
      <c r="AK1423" s="23">
        <v>0</v>
      </c>
    </row>
    <row r="1424" spans="2:37" x14ac:dyDescent="0.3"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  <c r="AA1424" s="23"/>
      <c r="AB1424" s="23"/>
      <c r="AC1424" s="23"/>
      <c r="AD1424" s="23"/>
      <c r="AE1424" s="23"/>
      <c r="AF1424" s="23"/>
      <c r="AG1424" s="23"/>
      <c r="AH1424" s="23"/>
      <c r="AI1424" s="23"/>
      <c r="AJ1424" s="23">
        <v>0</v>
      </c>
      <c r="AK1424" s="23">
        <v>0</v>
      </c>
    </row>
    <row r="1425" spans="2:37" x14ac:dyDescent="0.3"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  <c r="AA1425" s="23"/>
      <c r="AB1425" s="23"/>
      <c r="AC1425" s="23"/>
      <c r="AD1425" s="23"/>
      <c r="AE1425" s="23"/>
      <c r="AF1425" s="23"/>
      <c r="AG1425" s="23"/>
      <c r="AH1425" s="23"/>
      <c r="AI1425" s="23"/>
      <c r="AJ1425" s="23">
        <v>0</v>
      </c>
      <c r="AK1425" s="23">
        <v>0</v>
      </c>
    </row>
    <row r="1426" spans="2:37" x14ac:dyDescent="0.3"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  <c r="AA1426" s="23"/>
      <c r="AB1426" s="23"/>
      <c r="AC1426" s="23"/>
      <c r="AD1426" s="23"/>
      <c r="AE1426" s="23"/>
      <c r="AF1426" s="23"/>
      <c r="AG1426" s="23"/>
      <c r="AH1426" s="23"/>
      <c r="AI1426" s="23"/>
      <c r="AJ1426" s="23">
        <v>0</v>
      </c>
      <c r="AK1426" s="23">
        <v>0</v>
      </c>
    </row>
    <row r="1427" spans="2:37" x14ac:dyDescent="0.3"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  <c r="AA1427" s="23"/>
      <c r="AB1427" s="23"/>
      <c r="AC1427" s="23"/>
      <c r="AD1427" s="23"/>
      <c r="AE1427" s="23"/>
      <c r="AF1427" s="23"/>
      <c r="AG1427" s="23"/>
      <c r="AH1427" s="23"/>
      <c r="AI1427" s="23"/>
      <c r="AJ1427" s="23">
        <v>0</v>
      </c>
      <c r="AK1427" s="23">
        <v>0</v>
      </c>
    </row>
    <row r="1428" spans="2:37" x14ac:dyDescent="0.3"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  <c r="AA1428" s="23"/>
      <c r="AB1428" s="23"/>
      <c r="AC1428" s="23"/>
      <c r="AD1428" s="23"/>
      <c r="AE1428" s="23"/>
      <c r="AF1428" s="23"/>
      <c r="AG1428" s="23"/>
      <c r="AH1428" s="23"/>
      <c r="AI1428" s="23"/>
      <c r="AJ1428" s="23">
        <v>0</v>
      </c>
      <c r="AK1428" s="23">
        <v>0</v>
      </c>
    </row>
    <row r="1429" spans="2:37" x14ac:dyDescent="0.3"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  <c r="AA1429" s="23"/>
      <c r="AB1429" s="23"/>
      <c r="AC1429" s="23"/>
      <c r="AD1429" s="23"/>
      <c r="AE1429" s="23"/>
      <c r="AF1429" s="23"/>
      <c r="AG1429" s="23"/>
      <c r="AH1429" s="23"/>
      <c r="AI1429" s="23"/>
      <c r="AJ1429" s="23">
        <v>0</v>
      </c>
      <c r="AK1429" s="23">
        <v>0</v>
      </c>
    </row>
    <row r="1430" spans="2:37" x14ac:dyDescent="0.3"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  <c r="AA1430" s="23"/>
      <c r="AB1430" s="23"/>
      <c r="AC1430" s="23"/>
      <c r="AD1430" s="23"/>
      <c r="AE1430" s="23"/>
      <c r="AF1430" s="23"/>
      <c r="AG1430" s="23"/>
      <c r="AH1430" s="23"/>
      <c r="AI1430" s="23"/>
      <c r="AJ1430" s="23">
        <v>0</v>
      </c>
      <c r="AK1430" s="23">
        <v>0</v>
      </c>
    </row>
    <row r="1431" spans="2:37" x14ac:dyDescent="0.3"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  <c r="AA1431" s="23"/>
      <c r="AB1431" s="23"/>
      <c r="AC1431" s="23"/>
      <c r="AD1431" s="23"/>
      <c r="AE1431" s="23"/>
      <c r="AF1431" s="23"/>
      <c r="AG1431" s="23"/>
      <c r="AH1431" s="23"/>
      <c r="AI1431" s="23"/>
      <c r="AJ1431" s="23">
        <v>0</v>
      </c>
      <c r="AK1431" s="23">
        <v>0</v>
      </c>
    </row>
    <row r="1432" spans="2:37" x14ac:dyDescent="0.3"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  <c r="AA1432" s="23"/>
      <c r="AB1432" s="23"/>
      <c r="AC1432" s="23"/>
      <c r="AD1432" s="23"/>
      <c r="AE1432" s="23"/>
      <c r="AF1432" s="23"/>
      <c r="AG1432" s="23"/>
      <c r="AH1432" s="23"/>
      <c r="AI1432" s="23"/>
      <c r="AJ1432" s="23">
        <v>0</v>
      </c>
      <c r="AK1432" s="23">
        <v>0</v>
      </c>
    </row>
    <row r="1433" spans="2:37" x14ac:dyDescent="0.3"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  <c r="AA1433" s="23"/>
      <c r="AB1433" s="23"/>
      <c r="AC1433" s="23"/>
      <c r="AD1433" s="23"/>
      <c r="AE1433" s="23"/>
      <c r="AF1433" s="23"/>
      <c r="AG1433" s="23"/>
      <c r="AH1433" s="23"/>
      <c r="AI1433" s="23"/>
      <c r="AJ1433" s="23">
        <v>0</v>
      </c>
      <c r="AK1433" s="23">
        <v>0</v>
      </c>
    </row>
    <row r="1434" spans="2:37" x14ac:dyDescent="0.3"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  <c r="AA1434" s="23"/>
      <c r="AB1434" s="23"/>
      <c r="AC1434" s="23"/>
      <c r="AD1434" s="23"/>
      <c r="AE1434" s="23"/>
      <c r="AF1434" s="23"/>
      <c r="AG1434" s="23"/>
      <c r="AH1434" s="23"/>
      <c r="AI1434" s="23"/>
      <c r="AJ1434" s="23">
        <v>0</v>
      </c>
      <c r="AK1434" s="23">
        <v>0</v>
      </c>
    </row>
    <row r="1435" spans="2:37" x14ac:dyDescent="0.3"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  <c r="AA1435" s="23"/>
      <c r="AB1435" s="23"/>
      <c r="AC1435" s="23"/>
      <c r="AD1435" s="23"/>
      <c r="AE1435" s="23"/>
      <c r="AF1435" s="23"/>
      <c r="AG1435" s="23"/>
      <c r="AH1435" s="23"/>
      <c r="AI1435" s="23"/>
      <c r="AJ1435" s="23">
        <v>0</v>
      </c>
      <c r="AK1435" s="23">
        <v>0</v>
      </c>
    </row>
    <row r="1436" spans="2:37" x14ac:dyDescent="0.3"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  <c r="AA1436" s="23"/>
      <c r="AB1436" s="23"/>
      <c r="AC1436" s="23"/>
      <c r="AD1436" s="23"/>
      <c r="AE1436" s="23"/>
      <c r="AF1436" s="23"/>
      <c r="AG1436" s="23"/>
      <c r="AH1436" s="23"/>
      <c r="AI1436" s="23"/>
      <c r="AJ1436" s="23">
        <v>0</v>
      </c>
      <c r="AK1436" s="23">
        <v>0</v>
      </c>
    </row>
    <row r="1437" spans="2:37" x14ac:dyDescent="0.3"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  <c r="AA1437" s="23"/>
      <c r="AB1437" s="23"/>
      <c r="AC1437" s="23"/>
      <c r="AD1437" s="23"/>
      <c r="AE1437" s="23"/>
      <c r="AF1437" s="23"/>
      <c r="AG1437" s="23"/>
      <c r="AH1437" s="23"/>
      <c r="AI1437" s="23"/>
      <c r="AJ1437" s="23">
        <v>0</v>
      </c>
      <c r="AK1437" s="23">
        <v>0</v>
      </c>
    </row>
    <row r="1438" spans="2:37" x14ac:dyDescent="0.3"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  <c r="AA1438" s="23"/>
      <c r="AB1438" s="23"/>
      <c r="AC1438" s="23"/>
      <c r="AD1438" s="23"/>
      <c r="AE1438" s="23"/>
      <c r="AF1438" s="23"/>
      <c r="AG1438" s="23"/>
      <c r="AH1438" s="23"/>
      <c r="AI1438" s="23"/>
      <c r="AJ1438" s="23">
        <v>0</v>
      </c>
      <c r="AK1438" s="23">
        <v>0</v>
      </c>
    </row>
    <row r="1439" spans="2:37" x14ac:dyDescent="0.3"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  <c r="AA1439" s="23"/>
      <c r="AB1439" s="23"/>
      <c r="AC1439" s="23"/>
      <c r="AD1439" s="23"/>
      <c r="AE1439" s="23"/>
      <c r="AF1439" s="23"/>
      <c r="AG1439" s="23"/>
      <c r="AH1439" s="23"/>
      <c r="AI1439" s="23"/>
      <c r="AJ1439" s="23">
        <v>0</v>
      </c>
      <c r="AK1439" s="23">
        <v>0</v>
      </c>
    </row>
    <row r="1440" spans="2:37" x14ac:dyDescent="0.3"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  <c r="AA1440" s="23"/>
      <c r="AB1440" s="23"/>
      <c r="AC1440" s="23"/>
      <c r="AD1440" s="23"/>
      <c r="AE1440" s="23"/>
      <c r="AF1440" s="23"/>
      <c r="AG1440" s="23"/>
      <c r="AH1440" s="23"/>
      <c r="AI1440" s="23"/>
      <c r="AJ1440" s="23">
        <v>0</v>
      </c>
      <c r="AK1440" s="23">
        <v>0</v>
      </c>
    </row>
    <row r="1441" spans="2:37" x14ac:dyDescent="0.3"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  <c r="AA1441" s="23"/>
      <c r="AB1441" s="23"/>
      <c r="AC1441" s="23"/>
      <c r="AD1441" s="23"/>
      <c r="AE1441" s="23"/>
      <c r="AF1441" s="23"/>
      <c r="AG1441" s="23"/>
      <c r="AH1441" s="23"/>
      <c r="AI1441" s="23"/>
      <c r="AJ1441" s="23">
        <v>0</v>
      </c>
      <c r="AK1441" s="23">
        <v>0</v>
      </c>
    </row>
    <row r="1442" spans="2:37" x14ac:dyDescent="0.3"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  <c r="AA1442" s="23"/>
      <c r="AB1442" s="23"/>
      <c r="AC1442" s="23"/>
      <c r="AD1442" s="23"/>
      <c r="AE1442" s="23"/>
      <c r="AF1442" s="23"/>
      <c r="AG1442" s="23"/>
      <c r="AH1442" s="23"/>
      <c r="AI1442" s="23"/>
      <c r="AJ1442" s="23">
        <v>0</v>
      </c>
      <c r="AK1442" s="23">
        <v>0</v>
      </c>
    </row>
    <row r="1443" spans="2:37" x14ac:dyDescent="0.3"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  <c r="AA1443" s="23"/>
      <c r="AB1443" s="23"/>
      <c r="AC1443" s="23"/>
      <c r="AD1443" s="23"/>
      <c r="AE1443" s="23"/>
      <c r="AF1443" s="23"/>
      <c r="AG1443" s="23"/>
      <c r="AH1443" s="23"/>
      <c r="AI1443" s="23"/>
      <c r="AJ1443" s="23">
        <v>0</v>
      </c>
      <c r="AK1443" s="23">
        <v>0</v>
      </c>
    </row>
    <row r="1444" spans="2:37" x14ac:dyDescent="0.3"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  <c r="AA1444" s="23"/>
      <c r="AB1444" s="23"/>
      <c r="AC1444" s="23"/>
      <c r="AD1444" s="23"/>
      <c r="AE1444" s="23"/>
      <c r="AF1444" s="23"/>
      <c r="AG1444" s="23"/>
      <c r="AH1444" s="23"/>
      <c r="AI1444" s="23"/>
      <c r="AJ1444" s="23">
        <v>0</v>
      </c>
      <c r="AK1444" s="23">
        <v>0</v>
      </c>
    </row>
    <row r="1445" spans="2:37" x14ac:dyDescent="0.3"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  <c r="AA1445" s="23"/>
      <c r="AB1445" s="23"/>
      <c r="AC1445" s="23"/>
      <c r="AD1445" s="23"/>
      <c r="AE1445" s="23"/>
      <c r="AF1445" s="23"/>
      <c r="AG1445" s="23"/>
      <c r="AH1445" s="23"/>
      <c r="AI1445" s="23"/>
      <c r="AJ1445" s="23">
        <v>0</v>
      </c>
      <c r="AK1445" s="23">
        <v>0</v>
      </c>
    </row>
    <row r="1446" spans="2:37" x14ac:dyDescent="0.3"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  <c r="AA1446" s="23"/>
      <c r="AB1446" s="23"/>
      <c r="AC1446" s="23"/>
      <c r="AD1446" s="23"/>
      <c r="AE1446" s="23"/>
      <c r="AF1446" s="23"/>
      <c r="AG1446" s="23"/>
      <c r="AH1446" s="23"/>
      <c r="AI1446" s="23"/>
      <c r="AJ1446" s="23">
        <v>0</v>
      </c>
      <c r="AK1446" s="23">
        <v>0</v>
      </c>
    </row>
    <row r="1447" spans="2:37" x14ac:dyDescent="0.3"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  <c r="AA1447" s="23"/>
      <c r="AB1447" s="23"/>
      <c r="AC1447" s="23"/>
      <c r="AD1447" s="23"/>
      <c r="AE1447" s="23"/>
      <c r="AF1447" s="23"/>
      <c r="AG1447" s="23"/>
      <c r="AH1447" s="23"/>
      <c r="AI1447" s="23"/>
      <c r="AJ1447" s="23">
        <v>0</v>
      </c>
      <c r="AK1447" s="23">
        <v>0</v>
      </c>
    </row>
    <row r="1448" spans="2:37" x14ac:dyDescent="0.3"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  <c r="AA1448" s="23"/>
      <c r="AB1448" s="23"/>
      <c r="AC1448" s="23"/>
      <c r="AD1448" s="23"/>
      <c r="AE1448" s="23"/>
      <c r="AF1448" s="23"/>
      <c r="AG1448" s="23"/>
      <c r="AH1448" s="23"/>
      <c r="AI1448" s="23"/>
      <c r="AJ1448" s="23">
        <v>0</v>
      </c>
      <c r="AK1448" s="23">
        <v>0</v>
      </c>
    </row>
    <row r="1449" spans="2:37" x14ac:dyDescent="0.3"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  <c r="AA1449" s="23"/>
      <c r="AB1449" s="23"/>
      <c r="AC1449" s="23"/>
      <c r="AD1449" s="23"/>
      <c r="AE1449" s="23"/>
      <c r="AF1449" s="23"/>
      <c r="AG1449" s="23"/>
      <c r="AH1449" s="23"/>
      <c r="AI1449" s="23"/>
      <c r="AJ1449" s="23">
        <v>0</v>
      </c>
      <c r="AK1449" s="23">
        <v>0</v>
      </c>
    </row>
    <row r="1450" spans="2:37" x14ac:dyDescent="0.3"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  <c r="AA1450" s="23"/>
      <c r="AB1450" s="23"/>
      <c r="AC1450" s="23"/>
      <c r="AD1450" s="23"/>
      <c r="AE1450" s="23"/>
      <c r="AF1450" s="23"/>
      <c r="AG1450" s="23"/>
      <c r="AH1450" s="23"/>
      <c r="AI1450" s="23"/>
      <c r="AJ1450" s="23">
        <v>0</v>
      </c>
      <c r="AK1450" s="23">
        <v>0</v>
      </c>
    </row>
    <row r="1451" spans="2:37" x14ac:dyDescent="0.3"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  <c r="AA1451" s="23"/>
      <c r="AB1451" s="23"/>
      <c r="AC1451" s="23"/>
      <c r="AD1451" s="23"/>
      <c r="AE1451" s="23"/>
      <c r="AF1451" s="23"/>
      <c r="AG1451" s="23"/>
      <c r="AH1451" s="23"/>
      <c r="AI1451" s="23"/>
      <c r="AJ1451" s="23">
        <v>0</v>
      </c>
      <c r="AK1451" s="23">
        <v>0</v>
      </c>
    </row>
    <row r="1452" spans="2:37" x14ac:dyDescent="0.3"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  <c r="AA1452" s="23"/>
      <c r="AB1452" s="23"/>
      <c r="AC1452" s="23"/>
      <c r="AD1452" s="23"/>
      <c r="AE1452" s="23"/>
      <c r="AF1452" s="23"/>
      <c r="AG1452" s="23"/>
      <c r="AH1452" s="23"/>
      <c r="AI1452" s="23"/>
      <c r="AJ1452" s="23">
        <v>0</v>
      </c>
      <c r="AK1452" s="23">
        <v>0</v>
      </c>
    </row>
    <row r="1453" spans="2:37" x14ac:dyDescent="0.3"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  <c r="AA1453" s="23"/>
      <c r="AB1453" s="23"/>
      <c r="AC1453" s="23"/>
      <c r="AD1453" s="23"/>
      <c r="AE1453" s="23"/>
      <c r="AF1453" s="23"/>
      <c r="AG1453" s="23"/>
      <c r="AH1453" s="23"/>
      <c r="AI1453" s="23"/>
      <c r="AJ1453" s="23">
        <v>0</v>
      </c>
      <c r="AK1453" s="23">
        <v>0</v>
      </c>
    </row>
    <row r="1454" spans="2:37" x14ac:dyDescent="0.3"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  <c r="AA1454" s="23"/>
      <c r="AB1454" s="23"/>
      <c r="AC1454" s="23"/>
      <c r="AD1454" s="23"/>
      <c r="AE1454" s="23"/>
      <c r="AF1454" s="23"/>
      <c r="AG1454" s="23"/>
      <c r="AH1454" s="23"/>
      <c r="AI1454" s="23"/>
      <c r="AJ1454" s="23">
        <v>0</v>
      </c>
      <c r="AK1454" s="23">
        <v>0</v>
      </c>
    </row>
    <row r="1455" spans="2:37" x14ac:dyDescent="0.3"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  <c r="AA1455" s="23"/>
      <c r="AB1455" s="23"/>
      <c r="AC1455" s="23"/>
      <c r="AD1455" s="23"/>
      <c r="AE1455" s="23"/>
      <c r="AF1455" s="23"/>
      <c r="AG1455" s="23"/>
      <c r="AH1455" s="23"/>
      <c r="AI1455" s="23"/>
      <c r="AJ1455" s="23">
        <v>0</v>
      </c>
      <c r="AK1455" s="23">
        <v>0</v>
      </c>
    </row>
    <row r="1456" spans="2:37" x14ac:dyDescent="0.3"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  <c r="AA1456" s="23"/>
      <c r="AB1456" s="23"/>
      <c r="AC1456" s="23"/>
      <c r="AD1456" s="23"/>
      <c r="AE1456" s="23"/>
      <c r="AF1456" s="23"/>
      <c r="AG1456" s="23"/>
      <c r="AH1456" s="23"/>
      <c r="AI1456" s="23"/>
      <c r="AJ1456" s="23">
        <v>0</v>
      </c>
      <c r="AK1456" s="23">
        <v>0</v>
      </c>
    </row>
    <row r="1457" spans="2:37" x14ac:dyDescent="0.3"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  <c r="AA1457" s="23"/>
      <c r="AB1457" s="23"/>
      <c r="AC1457" s="23"/>
      <c r="AD1457" s="23"/>
      <c r="AE1457" s="23"/>
      <c r="AF1457" s="23"/>
      <c r="AG1457" s="23"/>
      <c r="AH1457" s="23"/>
      <c r="AI1457" s="23"/>
      <c r="AJ1457" s="23">
        <v>0</v>
      </c>
      <c r="AK1457" s="23">
        <v>0</v>
      </c>
    </row>
    <row r="1458" spans="2:37" x14ac:dyDescent="0.3"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  <c r="AA1458" s="23"/>
      <c r="AB1458" s="23"/>
      <c r="AC1458" s="23"/>
      <c r="AD1458" s="23"/>
      <c r="AE1458" s="23"/>
      <c r="AF1458" s="23"/>
      <c r="AG1458" s="23"/>
      <c r="AH1458" s="23"/>
      <c r="AI1458" s="23"/>
      <c r="AJ1458" s="23">
        <v>0</v>
      </c>
      <c r="AK1458" s="23">
        <v>0</v>
      </c>
    </row>
    <row r="1459" spans="2:37" x14ac:dyDescent="0.3">
      <c r="AJ1459">
        <v>0</v>
      </c>
      <c r="AK1459">
        <v>0</v>
      </c>
    </row>
    <row r="1460" spans="2:37" x14ac:dyDescent="0.3">
      <c r="AJ1460">
        <v>0</v>
      </c>
      <c r="AK1460">
        <v>0</v>
      </c>
    </row>
    <row r="1461" spans="2:37" x14ac:dyDescent="0.3">
      <c r="AJ1461">
        <v>0</v>
      </c>
      <c r="AK1461">
        <v>0</v>
      </c>
    </row>
    <row r="1462" spans="2:37" x14ac:dyDescent="0.3">
      <c r="AJ1462">
        <v>0</v>
      </c>
      <c r="AK1462">
        <v>0</v>
      </c>
    </row>
    <row r="1463" spans="2:37" x14ac:dyDescent="0.3">
      <c r="AJ1463">
        <v>0</v>
      </c>
      <c r="AK1463">
        <v>0</v>
      </c>
    </row>
    <row r="1464" spans="2:37" x14ac:dyDescent="0.3">
      <c r="AJ1464">
        <v>0</v>
      </c>
      <c r="AK1464">
        <v>0</v>
      </c>
    </row>
    <row r="1465" spans="2:37" x14ac:dyDescent="0.3">
      <c r="AJ1465">
        <v>0</v>
      </c>
      <c r="AK1465">
        <v>0</v>
      </c>
    </row>
    <row r="1466" spans="2:37" x14ac:dyDescent="0.3">
      <c r="AJ1466">
        <v>0</v>
      </c>
      <c r="AK1466">
        <v>0</v>
      </c>
    </row>
    <row r="1467" spans="2:37" x14ac:dyDescent="0.3">
      <c r="AJ1467">
        <v>0</v>
      </c>
      <c r="AK1467">
        <v>0</v>
      </c>
    </row>
    <row r="1468" spans="2:37" x14ac:dyDescent="0.3">
      <c r="AJ1468">
        <v>0</v>
      </c>
      <c r="AK1468">
        <v>0</v>
      </c>
    </row>
    <row r="1469" spans="2:37" x14ac:dyDescent="0.3">
      <c r="AJ1469">
        <v>0</v>
      </c>
      <c r="AK1469">
        <v>0</v>
      </c>
    </row>
    <row r="1470" spans="2:37" x14ac:dyDescent="0.3">
      <c r="AJ1470">
        <v>0</v>
      </c>
      <c r="AK1470">
        <v>0</v>
      </c>
    </row>
    <row r="1471" spans="2:37" x14ac:dyDescent="0.3">
      <c r="AJ1471">
        <v>0</v>
      </c>
      <c r="AK1471">
        <v>0</v>
      </c>
    </row>
    <row r="1472" spans="2:37" x14ac:dyDescent="0.3">
      <c r="AJ1472">
        <v>0</v>
      </c>
      <c r="AK1472">
        <v>0</v>
      </c>
    </row>
    <row r="1473" spans="36:37" x14ac:dyDescent="0.3">
      <c r="AJ1473">
        <v>0</v>
      </c>
      <c r="AK1473">
        <v>0</v>
      </c>
    </row>
    <row r="1474" spans="36:37" x14ac:dyDescent="0.3">
      <c r="AJ1474">
        <v>0</v>
      </c>
      <c r="AK1474">
        <v>0</v>
      </c>
    </row>
    <row r="1475" spans="36:37" x14ac:dyDescent="0.3">
      <c r="AJ1475">
        <v>0</v>
      </c>
      <c r="AK1475">
        <v>0</v>
      </c>
    </row>
    <row r="1476" spans="36:37" x14ac:dyDescent="0.3">
      <c r="AJ1476">
        <v>0</v>
      </c>
      <c r="AK1476">
        <v>0</v>
      </c>
    </row>
    <row r="1477" spans="36:37" x14ac:dyDescent="0.3">
      <c r="AJ1477">
        <v>0</v>
      </c>
      <c r="AK1477">
        <v>0</v>
      </c>
    </row>
    <row r="1478" spans="36:37" x14ac:dyDescent="0.3">
      <c r="AJ1478">
        <v>0</v>
      </c>
      <c r="AK1478">
        <v>0</v>
      </c>
    </row>
    <row r="1479" spans="36:37" x14ac:dyDescent="0.3">
      <c r="AJ1479">
        <v>0</v>
      </c>
      <c r="AK1479">
        <v>0</v>
      </c>
    </row>
    <row r="1480" spans="36:37" x14ac:dyDescent="0.3">
      <c r="AJ1480">
        <v>0</v>
      </c>
      <c r="AK1480">
        <v>0</v>
      </c>
    </row>
    <row r="1481" spans="36:37" x14ac:dyDescent="0.3">
      <c r="AJ1481">
        <v>0</v>
      </c>
      <c r="AK1481">
        <v>0</v>
      </c>
    </row>
    <row r="1482" spans="36:37" x14ac:dyDescent="0.3">
      <c r="AJ1482">
        <v>0</v>
      </c>
      <c r="AK1482">
        <v>0</v>
      </c>
    </row>
    <row r="1483" spans="36:37" x14ac:dyDescent="0.3">
      <c r="AJ1483">
        <v>0</v>
      </c>
      <c r="AK1483">
        <v>0</v>
      </c>
    </row>
    <row r="1484" spans="36:37" x14ac:dyDescent="0.3">
      <c r="AJ1484">
        <v>0</v>
      </c>
      <c r="AK1484">
        <v>0</v>
      </c>
    </row>
    <row r="1485" spans="36:37" x14ac:dyDescent="0.3">
      <c r="AJ1485">
        <v>0</v>
      </c>
      <c r="AK1485">
        <v>0</v>
      </c>
    </row>
    <row r="1486" spans="36:37" x14ac:dyDescent="0.3">
      <c r="AJ1486">
        <v>0</v>
      </c>
      <c r="AK1486">
        <v>0</v>
      </c>
    </row>
    <row r="1487" spans="36:37" x14ac:dyDescent="0.3">
      <c r="AJ1487">
        <v>0</v>
      </c>
      <c r="AK1487">
        <v>0</v>
      </c>
    </row>
    <row r="1488" spans="36:37" x14ac:dyDescent="0.3">
      <c r="AJ1488">
        <v>0</v>
      </c>
      <c r="AK1488">
        <v>0</v>
      </c>
    </row>
    <row r="1489" spans="36:37" x14ac:dyDescent="0.3">
      <c r="AJ1489">
        <v>0</v>
      </c>
      <c r="AK1489">
        <v>0</v>
      </c>
    </row>
    <row r="1490" spans="36:37" x14ac:dyDescent="0.3">
      <c r="AJ1490">
        <v>0</v>
      </c>
      <c r="AK1490">
        <v>0</v>
      </c>
    </row>
    <row r="1491" spans="36:37" x14ac:dyDescent="0.3">
      <c r="AJ1491">
        <v>0</v>
      </c>
      <c r="AK1491">
        <v>0</v>
      </c>
    </row>
    <row r="1492" spans="36:37" x14ac:dyDescent="0.3">
      <c r="AJ1492">
        <v>0</v>
      </c>
      <c r="AK1492">
        <v>0</v>
      </c>
    </row>
    <row r="1493" spans="36:37" x14ac:dyDescent="0.3">
      <c r="AJ1493">
        <v>0</v>
      </c>
      <c r="AK1493">
        <v>0</v>
      </c>
    </row>
    <row r="1494" spans="36:37" x14ac:dyDescent="0.3">
      <c r="AJ1494">
        <v>0</v>
      </c>
      <c r="AK1494">
        <v>0</v>
      </c>
    </row>
    <row r="1495" spans="36:37" x14ac:dyDescent="0.3">
      <c r="AJ1495">
        <v>0</v>
      </c>
      <c r="AK1495">
        <v>0</v>
      </c>
    </row>
    <row r="1496" spans="36:37" x14ac:dyDescent="0.3">
      <c r="AJ1496">
        <v>0</v>
      </c>
      <c r="AK1496">
        <v>0</v>
      </c>
    </row>
    <row r="1497" spans="36:37" x14ac:dyDescent="0.3">
      <c r="AJ1497">
        <v>0</v>
      </c>
      <c r="AK1497">
        <v>0</v>
      </c>
    </row>
    <row r="1498" spans="36:37" x14ac:dyDescent="0.3">
      <c r="AJ1498">
        <v>0</v>
      </c>
      <c r="AK1498">
        <v>0</v>
      </c>
    </row>
    <row r="1499" spans="36:37" x14ac:dyDescent="0.3">
      <c r="AJ1499">
        <v>0</v>
      </c>
      <c r="AK1499">
        <v>0</v>
      </c>
    </row>
    <row r="1500" spans="36:37" x14ac:dyDescent="0.3">
      <c r="AJ1500">
        <v>0</v>
      </c>
      <c r="AK1500">
        <v>0</v>
      </c>
    </row>
    <row r="1501" spans="36:37" x14ac:dyDescent="0.3">
      <c r="AJ1501">
        <v>0</v>
      </c>
      <c r="AK1501">
        <v>0</v>
      </c>
    </row>
    <row r="1502" spans="36:37" x14ac:dyDescent="0.3">
      <c r="AJ1502">
        <v>0</v>
      </c>
      <c r="AK1502">
        <v>0</v>
      </c>
    </row>
    <row r="1503" spans="36:37" x14ac:dyDescent="0.3">
      <c r="AJ1503">
        <v>0</v>
      </c>
      <c r="AK1503">
        <v>0</v>
      </c>
    </row>
    <row r="1504" spans="36:37" x14ac:dyDescent="0.3">
      <c r="AJ1504">
        <v>0</v>
      </c>
      <c r="AK1504">
        <v>0</v>
      </c>
    </row>
    <row r="1505" spans="36:37" x14ac:dyDescent="0.3">
      <c r="AJ1505">
        <v>0</v>
      </c>
      <c r="AK1505">
        <v>0</v>
      </c>
    </row>
    <row r="1506" spans="36:37" x14ac:dyDescent="0.3">
      <c r="AJ1506">
        <v>0</v>
      </c>
      <c r="AK1506">
        <v>0</v>
      </c>
    </row>
    <row r="1507" spans="36:37" x14ac:dyDescent="0.3">
      <c r="AJ1507">
        <v>0</v>
      </c>
      <c r="AK1507">
        <v>0</v>
      </c>
    </row>
    <row r="1508" spans="36:37" x14ac:dyDescent="0.3">
      <c r="AJ1508">
        <v>0</v>
      </c>
      <c r="AK1508">
        <v>0</v>
      </c>
    </row>
    <row r="1509" spans="36:37" x14ac:dyDescent="0.3">
      <c r="AJ1509">
        <v>0</v>
      </c>
      <c r="AK1509">
        <v>0</v>
      </c>
    </row>
    <row r="1510" spans="36:37" x14ac:dyDescent="0.3">
      <c r="AJ1510">
        <v>0</v>
      </c>
      <c r="AK1510">
        <v>0</v>
      </c>
    </row>
    <row r="1511" spans="36:37" x14ac:dyDescent="0.3">
      <c r="AJ1511">
        <v>0</v>
      </c>
      <c r="AK1511">
        <v>0</v>
      </c>
    </row>
    <row r="1512" spans="36:37" x14ac:dyDescent="0.3">
      <c r="AJ1512">
        <v>0</v>
      </c>
      <c r="AK1512">
        <v>0</v>
      </c>
    </row>
    <row r="1513" spans="36:37" x14ac:dyDescent="0.3">
      <c r="AJ1513">
        <v>0</v>
      </c>
      <c r="AK1513">
        <v>0</v>
      </c>
    </row>
    <row r="1514" spans="36:37" x14ac:dyDescent="0.3">
      <c r="AJ1514">
        <v>0</v>
      </c>
      <c r="AK1514">
        <v>0</v>
      </c>
    </row>
    <row r="1515" spans="36:37" x14ac:dyDescent="0.3">
      <c r="AJ1515">
        <v>0</v>
      </c>
      <c r="AK1515">
        <v>0</v>
      </c>
    </row>
    <row r="1516" spans="36:37" x14ac:dyDescent="0.3">
      <c r="AJ1516">
        <v>0</v>
      </c>
      <c r="AK1516">
        <v>0</v>
      </c>
    </row>
    <row r="1517" spans="36:37" x14ac:dyDescent="0.3">
      <c r="AJ1517">
        <v>0</v>
      </c>
      <c r="AK1517">
        <v>0</v>
      </c>
    </row>
    <row r="1518" spans="36:37" x14ac:dyDescent="0.3">
      <c r="AJ1518">
        <v>0</v>
      </c>
      <c r="AK1518">
        <v>0</v>
      </c>
    </row>
    <row r="1519" spans="36:37" x14ac:dyDescent="0.3">
      <c r="AJ1519">
        <v>0</v>
      </c>
      <c r="AK1519">
        <v>0</v>
      </c>
    </row>
    <row r="1520" spans="36:37" x14ac:dyDescent="0.3">
      <c r="AJ1520">
        <v>0</v>
      </c>
      <c r="AK1520">
        <v>0</v>
      </c>
    </row>
    <row r="1521" spans="36:37" x14ac:dyDescent="0.3">
      <c r="AJ1521">
        <v>0</v>
      </c>
      <c r="AK1521">
        <v>0</v>
      </c>
    </row>
    <row r="1522" spans="36:37" x14ac:dyDescent="0.3">
      <c r="AJ1522">
        <v>0</v>
      </c>
      <c r="AK1522">
        <v>0</v>
      </c>
    </row>
    <row r="1523" spans="36:37" x14ac:dyDescent="0.3">
      <c r="AJ1523">
        <v>0</v>
      </c>
      <c r="AK1523">
        <v>0</v>
      </c>
    </row>
    <row r="1524" spans="36:37" x14ac:dyDescent="0.3">
      <c r="AJ1524">
        <v>0</v>
      </c>
      <c r="AK1524">
        <v>0</v>
      </c>
    </row>
    <row r="1525" spans="36:37" x14ac:dyDescent="0.3">
      <c r="AJ1525">
        <v>0</v>
      </c>
      <c r="AK1525">
        <v>0</v>
      </c>
    </row>
    <row r="1526" spans="36:37" x14ac:dyDescent="0.3">
      <c r="AJ1526">
        <v>0</v>
      </c>
      <c r="AK1526">
        <v>0</v>
      </c>
    </row>
    <row r="1527" spans="36:37" x14ac:dyDescent="0.3">
      <c r="AJ1527">
        <v>0</v>
      </c>
      <c r="AK1527">
        <v>0</v>
      </c>
    </row>
    <row r="1528" spans="36:37" x14ac:dyDescent="0.3">
      <c r="AJ1528">
        <v>0</v>
      </c>
      <c r="AK1528">
        <v>0</v>
      </c>
    </row>
    <row r="1529" spans="36:37" x14ac:dyDescent="0.3">
      <c r="AJ1529">
        <v>0</v>
      </c>
      <c r="AK1529">
        <v>0</v>
      </c>
    </row>
    <row r="1530" spans="36:37" x14ac:dyDescent="0.3">
      <c r="AJ1530">
        <v>0</v>
      </c>
      <c r="AK1530">
        <v>0</v>
      </c>
    </row>
    <row r="1531" spans="36:37" x14ac:dyDescent="0.3">
      <c r="AJ1531">
        <v>0</v>
      </c>
      <c r="AK1531">
        <v>0</v>
      </c>
    </row>
    <row r="1532" spans="36:37" x14ac:dyDescent="0.3">
      <c r="AJ1532">
        <v>0</v>
      </c>
      <c r="AK1532">
        <v>0</v>
      </c>
    </row>
    <row r="1533" spans="36:37" x14ac:dyDescent="0.3">
      <c r="AJ1533">
        <v>0</v>
      </c>
      <c r="AK1533">
        <v>0</v>
      </c>
    </row>
    <row r="1534" spans="36:37" x14ac:dyDescent="0.3">
      <c r="AJ1534">
        <v>0</v>
      </c>
      <c r="AK1534">
        <v>0</v>
      </c>
    </row>
    <row r="1535" spans="36:37" x14ac:dyDescent="0.3">
      <c r="AJ1535">
        <v>0</v>
      </c>
      <c r="AK1535">
        <v>0</v>
      </c>
    </row>
    <row r="1536" spans="36:37" x14ac:dyDescent="0.3">
      <c r="AJ1536">
        <v>0</v>
      </c>
      <c r="AK1536">
        <v>0</v>
      </c>
    </row>
    <row r="1537" spans="36:37" x14ac:dyDescent="0.3">
      <c r="AJ1537">
        <v>0</v>
      </c>
      <c r="AK1537">
        <v>0</v>
      </c>
    </row>
    <row r="1538" spans="36:37" x14ac:dyDescent="0.3">
      <c r="AJ1538">
        <v>0</v>
      </c>
      <c r="AK1538">
        <v>0</v>
      </c>
    </row>
    <row r="1539" spans="36:37" x14ac:dyDescent="0.3">
      <c r="AJ1539">
        <v>0</v>
      </c>
      <c r="AK1539">
        <v>0</v>
      </c>
    </row>
    <row r="1540" spans="36:37" x14ac:dyDescent="0.3">
      <c r="AJ1540">
        <v>0</v>
      </c>
      <c r="AK1540">
        <v>0</v>
      </c>
    </row>
    <row r="1541" spans="36:37" x14ac:dyDescent="0.3">
      <c r="AJ1541">
        <v>0</v>
      </c>
      <c r="AK1541">
        <v>0</v>
      </c>
    </row>
    <row r="1542" spans="36:37" x14ac:dyDescent="0.3">
      <c r="AJ1542">
        <v>0</v>
      </c>
      <c r="AK1542">
        <v>0</v>
      </c>
    </row>
    <row r="1543" spans="36:37" x14ac:dyDescent="0.3">
      <c r="AJ1543">
        <v>0</v>
      </c>
      <c r="AK1543">
        <v>0</v>
      </c>
    </row>
    <row r="1544" spans="36:37" x14ac:dyDescent="0.3">
      <c r="AJ1544">
        <v>0</v>
      </c>
      <c r="AK1544">
        <v>0</v>
      </c>
    </row>
    <row r="1545" spans="36:37" x14ac:dyDescent="0.3">
      <c r="AJ1545">
        <v>0</v>
      </c>
      <c r="AK1545">
        <v>0</v>
      </c>
    </row>
    <row r="1546" spans="36:37" x14ac:dyDescent="0.3">
      <c r="AJ1546">
        <v>0</v>
      </c>
      <c r="AK1546">
        <v>0</v>
      </c>
    </row>
    <row r="1547" spans="36:37" x14ac:dyDescent="0.3">
      <c r="AJ1547">
        <v>0</v>
      </c>
      <c r="AK1547">
        <v>0</v>
      </c>
    </row>
    <row r="1548" spans="36:37" x14ac:dyDescent="0.3">
      <c r="AJ1548">
        <v>0</v>
      </c>
      <c r="AK1548">
        <v>0</v>
      </c>
    </row>
    <row r="1549" spans="36:37" x14ac:dyDescent="0.3">
      <c r="AJ1549">
        <v>0</v>
      </c>
      <c r="AK1549">
        <v>0</v>
      </c>
    </row>
    <row r="1550" spans="36:37" x14ac:dyDescent="0.3">
      <c r="AJ1550">
        <v>0</v>
      </c>
      <c r="AK1550">
        <v>0</v>
      </c>
    </row>
    <row r="1551" spans="36:37" x14ac:dyDescent="0.3">
      <c r="AJ1551">
        <v>0</v>
      </c>
      <c r="AK1551">
        <v>0</v>
      </c>
    </row>
    <row r="1552" spans="36:37" x14ac:dyDescent="0.3">
      <c r="AJ1552">
        <v>0</v>
      </c>
      <c r="AK1552">
        <v>0</v>
      </c>
    </row>
    <row r="1553" spans="36:37" x14ac:dyDescent="0.3">
      <c r="AJ1553">
        <v>0</v>
      </c>
      <c r="AK1553">
        <v>0</v>
      </c>
    </row>
    <row r="1554" spans="36:37" x14ac:dyDescent="0.3">
      <c r="AJ1554">
        <v>0</v>
      </c>
      <c r="AK1554">
        <v>0</v>
      </c>
    </row>
    <row r="1555" spans="36:37" x14ac:dyDescent="0.3">
      <c r="AJ1555">
        <v>0</v>
      </c>
      <c r="AK1555">
        <v>0</v>
      </c>
    </row>
    <row r="1556" spans="36:37" x14ac:dyDescent="0.3">
      <c r="AJ1556">
        <v>0</v>
      </c>
      <c r="AK1556">
        <v>0</v>
      </c>
    </row>
    <row r="1557" spans="36:37" x14ac:dyDescent="0.3">
      <c r="AJ1557">
        <v>0</v>
      </c>
      <c r="AK1557">
        <v>0</v>
      </c>
    </row>
    <row r="1558" spans="36:37" x14ac:dyDescent="0.3">
      <c r="AJ1558">
        <v>0</v>
      </c>
      <c r="AK1558">
        <v>0</v>
      </c>
    </row>
    <row r="1559" spans="36:37" x14ac:dyDescent="0.3">
      <c r="AJ1559">
        <v>0</v>
      </c>
      <c r="AK1559">
        <v>0</v>
      </c>
    </row>
    <row r="1560" spans="36:37" x14ac:dyDescent="0.3">
      <c r="AJ1560">
        <v>0</v>
      </c>
      <c r="AK1560">
        <v>0</v>
      </c>
    </row>
    <row r="1561" spans="36:37" x14ac:dyDescent="0.3">
      <c r="AJ1561">
        <v>0</v>
      </c>
      <c r="AK1561">
        <v>0</v>
      </c>
    </row>
    <row r="1562" spans="36:37" x14ac:dyDescent="0.3">
      <c r="AJ1562">
        <v>0</v>
      </c>
      <c r="AK1562">
        <v>0</v>
      </c>
    </row>
    <row r="1563" spans="36:37" x14ac:dyDescent="0.3">
      <c r="AJ1563">
        <v>0</v>
      </c>
      <c r="AK1563">
        <v>0</v>
      </c>
    </row>
    <row r="1564" spans="36:37" x14ac:dyDescent="0.3">
      <c r="AJ1564">
        <v>0</v>
      </c>
      <c r="AK1564">
        <v>0</v>
      </c>
    </row>
    <row r="1565" spans="36:37" x14ac:dyDescent="0.3">
      <c r="AJ1565">
        <v>0</v>
      </c>
      <c r="AK1565">
        <v>0</v>
      </c>
    </row>
    <row r="1566" spans="36:37" x14ac:dyDescent="0.3">
      <c r="AJ1566">
        <v>0</v>
      </c>
      <c r="AK1566">
        <v>0</v>
      </c>
    </row>
    <row r="1567" spans="36:37" x14ac:dyDescent="0.3">
      <c r="AJ1567">
        <v>0</v>
      </c>
      <c r="AK1567">
        <v>0</v>
      </c>
    </row>
    <row r="1568" spans="36:37" x14ac:dyDescent="0.3">
      <c r="AJ1568">
        <v>0</v>
      </c>
      <c r="AK1568">
        <v>0</v>
      </c>
    </row>
    <row r="1569" spans="36:37" x14ac:dyDescent="0.3">
      <c r="AJ1569">
        <v>0</v>
      </c>
      <c r="AK1569">
        <v>0</v>
      </c>
    </row>
    <row r="1570" spans="36:37" x14ac:dyDescent="0.3">
      <c r="AJ1570">
        <v>0</v>
      </c>
      <c r="AK1570">
        <v>0</v>
      </c>
    </row>
    <row r="1571" spans="36:37" x14ac:dyDescent="0.3">
      <c r="AJ1571">
        <v>0</v>
      </c>
      <c r="AK1571">
        <v>0</v>
      </c>
    </row>
    <row r="1572" spans="36:37" x14ac:dyDescent="0.3">
      <c r="AJ1572">
        <v>0</v>
      </c>
      <c r="AK1572">
        <v>0</v>
      </c>
    </row>
    <row r="1573" spans="36:37" x14ac:dyDescent="0.3">
      <c r="AJ1573">
        <v>0</v>
      </c>
      <c r="AK1573">
        <v>0</v>
      </c>
    </row>
    <row r="1574" spans="36:37" x14ac:dyDescent="0.3">
      <c r="AJ1574">
        <v>0</v>
      </c>
      <c r="AK1574">
        <v>0</v>
      </c>
    </row>
    <row r="1575" spans="36:37" x14ac:dyDescent="0.3">
      <c r="AJ1575">
        <v>0</v>
      </c>
      <c r="AK1575">
        <v>0</v>
      </c>
    </row>
    <row r="1576" spans="36:37" x14ac:dyDescent="0.3">
      <c r="AJ1576">
        <v>0</v>
      </c>
      <c r="AK1576">
        <v>0</v>
      </c>
    </row>
    <row r="1577" spans="36:37" x14ac:dyDescent="0.3">
      <c r="AJ1577">
        <v>0</v>
      </c>
      <c r="AK1577">
        <v>0</v>
      </c>
    </row>
    <row r="1578" spans="36:37" x14ac:dyDescent="0.3">
      <c r="AJ1578">
        <v>0</v>
      </c>
      <c r="AK1578">
        <v>0</v>
      </c>
    </row>
    <row r="1579" spans="36:37" x14ac:dyDescent="0.3">
      <c r="AJ1579">
        <v>0</v>
      </c>
      <c r="AK1579">
        <v>0</v>
      </c>
    </row>
    <row r="1580" spans="36:37" x14ac:dyDescent="0.3">
      <c r="AJ1580">
        <v>0</v>
      </c>
      <c r="AK1580">
        <v>0</v>
      </c>
    </row>
    <row r="1581" spans="36:37" x14ac:dyDescent="0.3">
      <c r="AJ1581">
        <v>0</v>
      </c>
      <c r="AK1581">
        <v>0</v>
      </c>
    </row>
    <row r="1582" spans="36:37" x14ac:dyDescent="0.3">
      <c r="AJ1582">
        <v>0</v>
      </c>
      <c r="AK1582">
        <v>0</v>
      </c>
    </row>
    <row r="1583" spans="36:37" x14ac:dyDescent="0.3">
      <c r="AJ1583">
        <v>0</v>
      </c>
      <c r="AK1583">
        <v>0</v>
      </c>
    </row>
    <row r="1584" spans="36:37" x14ac:dyDescent="0.3">
      <c r="AJ1584">
        <v>0</v>
      </c>
      <c r="AK1584">
        <v>0</v>
      </c>
    </row>
    <row r="1585" spans="36:37" x14ac:dyDescent="0.3">
      <c r="AJ1585">
        <v>0</v>
      </c>
      <c r="AK1585">
        <v>0</v>
      </c>
    </row>
    <row r="1586" spans="36:37" x14ac:dyDescent="0.3">
      <c r="AJ1586">
        <v>0</v>
      </c>
      <c r="AK1586">
        <v>0</v>
      </c>
    </row>
    <row r="1587" spans="36:37" x14ac:dyDescent="0.3">
      <c r="AJ1587">
        <v>0</v>
      </c>
      <c r="AK1587">
        <v>0</v>
      </c>
    </row>
    <row r="1588" spans="36:37" x14ac:dyDescent="0.3">
      <c r="AJ1588">
        <v>0</v>
      </c>
      <c r="AK1588">
        <v>0</v>
      </c>
    </row>
    <row r="1589" spans="36:37" x14ac:dyDescent="0.3">
      <c r="AJ1589">
        <v>0</v>
      </c>
      <c r="AK1589">
        <v>0</v>
      </c>
    </row>
    <row r="1590" spans="36:37" x14ac:dyDescent="0.3">
      <c r="AJ1590">
        <v>0</v>
      </c>
      <c r="AK1590">
        <v>0</v>
      </c>
    </row>
    <row r="1591" spans="36:37" x14ac:dyDescent="0.3">
      <c r="AJ1591">
        <v>0</v>
      </c>
      <c r="AK1591">
        <v>0</v>
      </c>
    </row>
    <row r="1592" spans="36:37" x14ac:dyDescent="0.3">
      <c r="AJ1592">
        <v>0</v>
      </c>
      <c r="AK1592">
        <v>0</v>
      </c>
    </row>
    <row r="1593" spans="36:37" x14ac:dyDescent="0.3">
      <c r="AJ1593">
        <v>0</v>
      </c>
      <c r="AK1593">
        <v>0</v>
      </c>
    </row>
    <row r="1594" spans="36:37" x14ac:dyDescent="0.3">
      <c r="AJ1594">
        <v>0</v>
      </c>
      <c r="AK1594">
        <v>0</v>
      </c>
    </row>
    <row r="1595" spans="36:37" x14ac:dyDescent="0.3">
      <c r="AJ1595">
        <v>0</v>
      </c>
      <c r="AK1595">
        <v>0</v>
      </c>
    </row>
    <row r="1596" spans="36:37" x14ac:dyDescent="0.3">
      <c r="AJ1596">
        <v>0</v>
      </c>
      <c r="AK1596">
        <v>0</v>
      </c>
    </row>
    <row r="1597" spans="36:37" x14ac:dyDescent="0.3">
      <c r="AJ1597">
        <v>0</v>
      </c>
      <c r="AK1597">
        <v>0</v>
      </c>
    </row>
    <row r="1598" spans="36:37" x14ac:dyDescent="0.3">
      <c r="AJ1598">
        <v>0</v>
      </c>
      <c r="AK1598">
        <v>0</v>
      </c>
    </row>
    <row r="1599" spans="36:37" x14ac:dyDescent="0.3">
      <c r="AJ1599">
        <v>0</v>
      </c>
      <c r="AK1599">
        <v>0</v>
      </c>
    </row>
    <row r="1600" spans="36:37" x14ac:dyDescent="0.3">
      <c r="AJ1600">
        <v>0</v>
      </c>
      <c r="AK1600">
        <v>0</v>
      </c>
    </row>
    <row r="1601" spans="36:37" x14ac:dyDescent="0.3">
      <c r="AJ1601">
        <v>0</v>
      </c>
      <c r="AK1601">
        <v>0</v>
      </c>
    </row>
    <row r="1602" spans="36:37" x14ac:dyDescent="0.3">
      <c r="AJ1602">
        <v>0</v>
      </c>
      <c r="AK1602">
        <v>0</v>
      </c>
    </row>
    <row r="1603" spans="36:37" x14ac:dyDescent="0.3">
      <c r="AJ1603">
        <v>0</v>
      </c>
      <c r="AK1603">
        <v>0</v>
      </c>
    </row>
    <row r="1604" spans="36:37" x14ac:dyDescent="0.3">
      <c r="AJ1604">
        <v>0</v>
      </c>
      <c r="AK1604">
        <v>0</v>
      </c>
    </row>
    <row r="1605" spans="36:37" x14ac:dyDescent="0.3">
      <c r="AJ1605">
        <v>0</v>
      </c>
      <c r="AK1605">
        <v>0</v>
      </c>
    </row>
    <row r="1606" spans="36:37" x14ac:dyDescent="0.3">
      <c r="AJ1606">
        <v>0</v>
      </c>
      <c r="AK1606">
        <v>0</v>
      </c>
    </row>
    <row r="1607" spans="36:37" x14ac:dyDescent="0.3">
      <c r="AJ1607">
        <v>0</v>
      </c>
      <c r="AK1607">
        <v>0</v>
      </c>
    </row>
    <row r="1608" spans="36:37" x14ac:dyDescent="0.3">
      <c r="AJ1608">
        <v>0</v>
      </c>
      <c r="AK1608">
        <v>0</v>
      </c>
    </row>
    <row r="1609" spans="36:37" x14ac:dyDescent="0.3">
      <c r="AJ1609">
        <v>0</v>
      </c>
      <c r="AK1609">
        <v>0</v>
      </c>
    </row>
    <row r="1610" spans="36:37" x14ac:dyDescent="0.3">
      <c r="AJ1610">
        <v>0</v>
      </c>
      <c r="AK1610">
        <v>0</v>
      </c>
    </row>
    <row r="1611" spans="36:37" x14ac:dyDescent="0.3">
      <c r="AJ1611">
        <v>0</v>
      </c>
      <c r="AK1611">
        <v>0</v>
      </c>
    </row>
    <row r="1612" spans="36:37" x14ac:dyDescent="0.3">
      <c r="AJ1612">
        <v>0</v>
      </c>
      <c r="AK1612">
        <v>0</v>
      </c>
    </row>
    <row r="1613" spans="36:37" x14ac:dyDescent="0.3">
      <c r="AJ1613">
        <v>0</v>
      </c>
      <c r="AK1613">
        <v>0</v>
      </c>
    </row>
    <row r="1614" spans="36:37" x14ac:dyDescent="0.3">
      <c r="AJ1614">
        <v>0</v>
      </c>
      <c r="AK1614">
        <v>0</v>
      </c>
    </row>
    <row r="1615" spans="36:37" x14ac:dyDescent="0.3">
      <c r="AJ1615">
        <v>0</v>
      </c>
      <c r="AK1615">
        <v>0</v>
      </c>
    </row>
    <row r="1616" spans="36:37" x14ac:dyDescent="0.3">
      <c r="AJ1616">
        <v>0</v>
      </c>
      <c r="AK1616">
        <v>0</v>
      </c>
    </row>
    <row r="1617" spans="36:37" x14ac:dyDescent="0.3">
      <c r="AJ1617">
        <v>0</v>
      </c>
      <c r="AK1617">
        <v>0</v>
      </c>
    </row>
    <row r="1618" spans="36:37" x14ac:dyDescent="0.3">
      <c r="AJ1618">
        <v>0</v>
      </c>
      <c r="AK1618">
        <v>0</v>
      </c>
    </row>
    <row r="1619" spans="36:37" x14ac:dyDescent="0.3">
      <c r="AJ1619">
        <v>0</v>
      </c>
      <c r="AK1619">
        <v>0</v>
      </c>
    </row>
    <row r="1620" spans="36:37" x14ac:dyDescent="0.3">
      <c r="AJ1620">
        <v>0</v>
      </c>
      <c r="AK1620">
        <v>0</v>
      </c>
    </row>
    <row r="1621" spans="36:37" x14ac:dyDescent="0.3">
      <c r="AJ1621">
        <v>0</v>
      </c>
      <c r="AK1621">
        <v>0</v>
      </c>
    </row>
    <row r="1622" spans="36:37" x14ac:dyDescent="0.3">
      <c r="AJ1622">
        <v>0</v>
      </c>
      <c r="AK1622">
        <v>0</v>
      </c>
    </row>
    <row r="1623" spans="36:37" x14ac:dyDescent="0.3">
      <c r="AJ1623">
        <v>0</v>
      </c>
      <c r="AK1623">
        <v>0</v>
      </c>
    </row>
    <row r="1624" spans="36:37" x14ac:dyDescent="0.3">
      <c r="AJ1624">
        <v>0</v>
      </c>
      <c r="AK1624">
        <v>0</v>
      </c>
    </row>
    <row r="1625" spans="36:37" x14ac:dyDescent="0.3">
      <c r="AJ1625">
        <v>0</v>
      </c>
      <c r="AK1625">
        <v>0</v>
      </c>
    </row>
    <row r="1626" spans="36:37" x14ac:dyDescent="0.3">
      <c r="AJ1626">
        <v>0</v>
      </c>
      <c r="AK1626">
        <v>0</v>
      </c>
    </row>
    <row r="1627" spans="36:37" x14ac:dyDescent="0.3">
      <c r="AJ1627">
        <v>0</v>
      </c>
      <c r="AK1627">
        <v>0</v>
      </c>
    </row>
    <row r="1628" spans="36:37" x14ac:dyDescent="0.3">
      <c r="AJ1628">
        <v>0</v>
      </c>
      <c r="AK1628">
        <v>0</v>
      </c>
    </row>
    <row r="1629" spans="36:37" x14ac:dyDescent="0.3">
      <c r="AJ1629">
        <v>0</v>
      </c>
      <c r="AK1629">
        <v>0</v>
      </c>
    </row>
    <row r="1630" spans="36:37" x14ac:dyDescent="0.3">
      <c r="AJ1630">
        <v>0</v>
      </c>
      <c r="AK1630">
        <v>0</v>
      </c>
    </row>
    <row r="1631" spans="36:37" x14ac:dyDescent="0.3">
      <c r="AJ1631">
        <v>0</v>
      </c>
      <c r="AK1631">
        <v>0</v>
      </c>
    </row>
    <row r="1632" spans="36:37" x14ac:dyDescent="0.3">
      <c r="AJ1632">
        <v>0</v>
      </c>
      <c r="AK1632">
        <v>0</v>
      </c>
    </row>
    <row r="1633" spans="36:37" x14ac:dyDescent="0.3">
      <c r="AJ1633">
        <v>0</v>
      </c>
      <c r="AK1633">
        <v>0</v>
      </c>
    </row>
    <row r="1634" spans="36:37" x14ac:dyDescent="0.3">
      <c r="AJ1634">
        <v>0</v>
      </c>
      <c r="AK1634">
        <v>0</v>
      </c>
    </row>
    <row r="1635" spans="36:37" x14ac:dyDescent="0.3">
      <c r="AJ1635">
        <v>0</v>
      </c>
      <c r="AK1635">
        <v>0</v>
      </c>
    </row>
    <row r="1636" spans="36:37" x14ac:dyDescent="0.3">
      <c r="AJ1636">
        <v>0</v>
      </c>
      <c r="AK1636">
        <v>0</v>
      </c>
    </row>
    <row r="1637" spans="36:37" x14ac:dyDescent="0.3">
      <c r="AJ1637">
        <v>0</v>
      </c>
      <c r="AK1637">
        <v>0</v>
      </c>
    </row>
    <row r="1638" spans="36:37" x14ac:dyDescent="0.3">
      <c r="AJ1638">
        <v>0</v>
      </c>
      <c r="AK1638">
        <v>0</v>
      </c>
    </row>
    <row r="1639" spans="36:37" x14ac:dyDescent="0.3">
      <c r="AJ1639">
        <v>0</v>
      </c>
      <c r="AK1639">
        <v>0</v>
      </c>
    </row>
    <row r="1640" spans="36:37" x14ac:dyDescent="0.3">
      <c r="AJ1640">
        <v>0</v>
      </c>
      <c r="AK1640">
        <v>0</v>
      </c>
    </row>
    <row r="1641" spans="36:37" x14ac:dyDescent="0.3">
      <c r="AJ1641">
        <v>0</v>
      </c>
      <c r="AK1641">
        <v>0</v>
      </c>
    </row>
    <row r="1642" spans="36:37" x14ac:dyDescent="0.3">
      <c r="AJ1642">
        <v>0</v>
      </c>
      <c r="AK1642">
        <v>0</v>
      </c>
    </row>
    <row r="1643" spans="36:37" x14ac:dyDescent="0.3">
      <c r="AJ1643">
        <v>0</v>
      </c>
      <c r="AK1643">
        <v>0</v>
      </c>
    </row>
    <row r="1644" spans="36:37" x14ac:dyDescent="0.3">
      <c r="AJ1644">
        <v>0</v>
      </c>
      <c r="AK1644">
        <v>0</v>
      </c>
    </row>
    <row r="1645" spans="36:37" x14ac:dyDescent="0.3">
      <c r="AJ1645">
        <v>0</v>
      </c>
      <c r="AK1645">
        <v>0</v>
      </c>
    </row>
    <row r="1646" spans="36:37" x14ac:dyDescent="0.3">
      <c r="AJ1646">
        <v>0</v>
      </c>
      <c r="AK1646">
        <v>0</v>
      </c>
    </row>
    <row r="1647" spans="36:37" x14ac:dyDescent="0.3">
      <c r="AJ1647">
        <v>0</v>
      </c>
      <c r="AK1647">
        <v>0</v>
      </c>
    </row>
    <row r="1648" spans="36:37" x14ac:dyDescent="0.3">
      <c r="AJ1648">
        <v>0</v>
      </c>
      <c r="AK1648">
        <v>0</v>
      </c>
    </row>
    <row r="1649" spans="36:37" x14ac:dyDescent="0.3">
      <c r="AJ1649">
        <v>0</v>
      </c>
      <c r="AK1649">
        <v>0</v>
      </c>
    </row>
    <row r="1650" spans="36:37" x14ac:dyDescent="0.3">
      <c r="AJ1650">
        <v>0</v>
      </c>
      <c r="AK1650">
        <v>0</v>
      </c>
    </row>
    <row r="1651" spans="36:37" x14ac:dyDescent="0.3">
      <c r="AJ1651">
        <v>0</v>
      </c>
      <c r="AK1651">
        <v>0</v>
      </c>
    </row>
    <row r="1652" spans="36:37" x14ac:dyDescent="0.3">
      <c r="AJ1652">
        <v>0</v>
      </c>
      <c r="AK1652">
        <v>0</v>
      </c>
    </row>
    <row r="1653" spans="36:37" x14ac:dyDescent="0.3">
      <c r="AJ1653">
        <v>0</v>
      </c>
      <c r="AK1653">
        <v>0</v>
      </c>
    </row>
    <row r="1654" spans="36:37" x14ac:dyDescent="0.3">
      <c r="AJ1654">
        <v>0</v>
      </c>
      <c r="AK1654">
        <v>0</v>
      </c>
    </row>
    <row r="1655" spans="36:37" x14ac:dyDescent="0.3">
      <c r="AJ1655">
        <v>0</v>
      </c>
      <c r="AK1655">
        <v>0</v>
      </c>
    </row>
    <row r="1656" spans="36:37" x14ac:dyDescent="0.3">
      <c r="AJ1656">
        <v>0</v>
      </c>
      <c r="AK1656">
        <v>0</v>
      </c>
    </row>
    <row r="1657" spans="36:37" x14ac:dyDescent="0.3">
      <c r="AJ1657">
        <v>0</v>
      </c>
      <c r="AK1657">
        <v>0</v>
      </c>
    </row>
    <row r="1658" spans="36:37" x14ac:dyDescent="0.3">
      <c r="AJ1658">
        <v>0</v>
      </c>
      <c r="AK1658">
        <v>0</v>
      </c>
    </row>
    <row r="1659" spans="36:37" x14ac:dyDescent="0.3">
      <c r="AJ1659">
        <v>0</v>
      </c>
      <c r="AK1659">
        <v>0</v>
      </c>
    </row>
    <row r="1660" spans="36:37" x14ac:dyDescent="0.3">
      <c r="AJ1660">
        <v>0</v>
      </c>
      <c r="AK1660">
        <v>0</v>
      </c>
    </row>
    <row r="1661" spans="36:37" x14ac:dyDescent="0.3">
      <c r="AJ1661">
        <v>0</v>
      </c>
      <c r="AK1661">
        <v>0</v>
      </c>
    </row>
    <row r="1662" spans="36:37" x14ac:dyDescent="0.3">
      <c r="AJ1662">
        <v>0</v>
      </c>
      <c r="AK1662">
        <v>0</v>
      </c>
    </row>
    <row r="1663" spans="36:37" x14ac:dyDescent="0.3">
      <c r="AJ1663">
        <v>0</v>
      </c>
      <c r="AK1663">
        <v>0</v>
      </c>
    </row>
    <row r="1664" spans="36:37" x14ac:dyDescent="0.3">
      <c r="AJ1664">
        <v>0</v>
      </c>
      <c r="AK1664">
        <v>0</v>
      </c>
    </row>
    <row r="1665" spans="36:37" x14ac:dyDescent="0.3">
      <c r="AJ1665">
        <v>0</v>
      </c>
      <c r="AK1665">
        <v>0</v>
      </c>
    </row>
    <row r="1666" spans="36:37" x14ac:dyDescent="0.3">
      <c r="AJ1666">
        <v>0</v>
      </c>
      <c r="AK1666">
        <v>0</v>
      </c>
    </row>
    <row r="1667" spans="36:37" x14ac:dyDescent="0.3">
      <c r="AJ1667">
        <v>0</v>
      </c>
      <c r="AK1667">
        <v>0</v>
      </c>
    </row>
    <row r="1668" spans="36:37" x14ac:dyDescent="0.3">
      <c r="AJ1668">
        <v>0</v>
      </c>
      <c r="AK1668">
        <v>0</v>
      </c>
    </row>
    <row r="1669" spans="36:37" x14ac:dyDescent="0.3">
      <c r="AJ1669">
        <v>0</v>
      </c>
      <c r="AK1669">
        <v>0</v>
      </c>
    </row>
    <row r="1670" spans="36:37" x14ac:dyDescent="0.3">
      <c r="AJ1670">
        <v>0</v>
      </c>
      <c r="AK1670">
        <v>0</v>
      </c>
    </row>
    <row r="1671" spans="36:37" x14ac:dyDescent="0.3">
      <c r="AJ1671">
        <v>0</v>
      </c>
      <c r="AK1671">
        <v>0</v>
      </c>
    </row>
    <row r="1672" spans="36:37" x14ac:dyDescent="0.3">
      <c r="AJ1672">
        <v>0</v>
      </c>
      <c r="AK1672">
        <v>0</v>
      </c>
    </row>
    <row r="1673" spans="36:37" x14ac:dyDescent="0.3">
      <c r="AJ1673">
        <v>0</v>
      </c>
      <c r="AK1673">
        <v>0</v>
      </c>
    </row>
    <row r="1674" spans="36:37" x14ac:dyDescent="0.3">
      <c r="AJ1674">
        <v>0</v>
      </c>
      <c r="AK1674">
        <v>0</v>
      </c>
    </row>
    <row r="1675" spans="36:37" x14ac:dyDescent="0.3">
      <c r="AJ1675">
        <v>0</v>
      </c>
      <c r="AK1675">
        <v>0</v>
      </c>
    </row>
    <row r="1676" spans="36:37" x14ac:dyDescent="0.3">
      <c r="AJ1676">
        <v>0</v>
      </c>
      <c r="AK1676">
        <v>0</v>
      </c>
    </row>
    <row r="1677" spans="36:37" x14ac:dyDescent="0.3">
      <c r="AJ1677">
        <v>0</v>
      </c>
      <c r="AK1677">
        <v>0</v>
      </c>
    </row>
    <row r="1678" spans="36:37" x14ac:dyDescent="0.3">
      <c r="AJ1678">
        <v>0</v>
      </c>
      <c r="AK1678">
        <v>0</v>
      </c>
    </row>
    <row r="1679" spans="36:37" x14ac:dyDescent="0.3">
      <c r="AJ1679">
        <v>0</v>
      </c>
      <c r="AK1679">
        <v>0</v>
      </c>
    </row>
    <row r="1680" spans="36:37" x14ac:dyDescent="0.3">
      <c r="AJ1680">
        <v>0</v>
      </c>
      <c r="AK1680">
        <v>0</v>
      </c>
    </row>
    <row r="1681" spans="36:37" x14ac:dyDescent="0.3">
      <c r="AJ1681">
        <v>0</v>
      </c>
      <c r="AK1681">
        <v>0</v>
      </c>
    </row>
    <row r="1682" spans="36:37" x14ac:dyDescent="0.3">
      <c r="AJ1682">
        <v>0</v>
      </c>
      <c r="AK1682">
        <v>0</v>
      </c>
    </row>
    <row r="1683" spans="36:37" x14ac:dyDescent="0.3">
      <c r="AJ1683">
        <v>0</v>
      </c>
      <c r="AK1683">
        <v>0</v>
      </c>
    </row>
    <row r="1684" spans="36:37" x14ac:dyDescent="0.3">
      <c r="AJ1684">
        <v>0</v>
      </c>
      <c r="AK1684">
        <v>0</v>
      </c>
    </row>
    <row r="1685" spans="36:37" x14ac:dyDescent="0.3">
      <c r="AJ1685">
        <v>0</v>
      </c>
      <c r="AK1685">
        <v>0</v>
      </c>
    </row>
    <row r="1686" spans="36:37" x14ac:dyDescent="0.3">
      <c r="AJ1686">
        <v>0</v>
      </c>
      <c r="AK1686">
        <v>0</v>
      </c>
    </row>
    <row r="1687" spans="36:37" x14ac:dyDescent="0.3">
      <c r="AJ1687">
        <v>0</v>
      </c>
      <c r="AK1687">
        <v>0</v>
      </c>
    </row>
    <row r="1688" spans="36:37" x14ac:dyDescent="0.3">
      <c r="AJ1688">
        <v>0</v>
      </c>
      <c r="AK1688">
        <v>0</v>
      </c>
    </row>
    <row r="1689" spans="36:37" x14ac:dyDescent="0.3">
      <c r="AJ1689">
        <v>0</v>
      </c>
      <c r="AK1689">
        <v>0</v>
      </c>
    </row>
    <row r="1690" spans="36:37" x14ac:dyDescent="0.3">
      <c r="AJ1690">
        <v>0</v>
      </c>
      <c r="AK1690">
        <v>0</v>
      </c>
    </row>
    <row r="1691" spans="36:37" x14ac:dyDescent="0.3">
      <c r="AJ1691">
        <v>0</v>
      </c>
      <c r="AK1691">
        <v>0</v>
      </c>
    </row>
    <row r="1692" spans="36:37" x14ac:dyDescent="0.3">
      <c r="AJ1692">
        <v>0</v>
      </c>
      <c r="AK1692">
        <v>0</v>
      </c>
    </row>
    <row r="1693" spans="36:37" x14ac:dyDescent="0.3">
      <c r="AJ1693">
        <v>0</v>
      </c>
      <c r="AK1693">
        <v>0</v>
      </c>
    </row>
    <row r="1694" spans="36:37" x14ac:dyDescent="0.3">
      <c r="AJ1694">
        <v>0</v>
      </c>
      <c r="AK1694">
        <v>0</v>
      </c>
    </row>
    <row r="1695" spans="36:37" x14ac:dyDescent="0.3">
      <c r="AJ1695">
        <v>0</v>
      </c>
      <c r="AK1695">
        <v>0</v>
      </c>
    </row>
    <row r="1696" spans="36:37" x14ac:dyDescent="0.3">
      <c r="AJ1696">
        <v>0</v>
      </c>
      <c r="AK1696">
        <v>0</v>
      </c>
    </row>
    <row r="1697" spans="36:37" x14ac:dyDescent="0.3">
      <c r="AJ1697">
        <v>0</v>
      </c>
      <c r="AK1697">
        <v>0</v>
      </c>
    </row>
    <row r="1698" spans="36:37" x14ac:dyDescent="0.3">
      <c r="AJ1698">
        <v>0</v>
      </c>
      <c r="AK1698">
        <v>0</v>
      </c>
    </row>
    <row r="1699" spans="36:37" x14ac:dyDescent="0.3">
      <c r="AJ1699">
        <v>0</v>
      </c>
      <c r="AK1699">
        <v>0</v>
      </c>
    </row>
    <row r="1700" spans="36:37" x14ac:dyDescent="0.3">
      <c r="AJ1700">
        <v>0</v>
      </c>
      <c r="AK1700">
        <v>0</v>
      </c>
    </row>
    <row r="1701" spans="36:37" x14ac:dyDescent="0.3">
      <c r="AJ1701">
        <v>0</v>
      </c>
      <c r="AK1701">
        <v>0</v>
      </c>
    </row>
    <row r="1702" spans="36:37" x14ac:dyDescent="0.3">
      <c r="AJ1702">
        <v>0</v>
      </c>
      <c r="AK1702">
        <v>0</v>
      </c>
    </row>
    <row r="1703" spans="36:37" x14ac:dyDescent="0.3">
      <c r="AJ1703">
        <v>0</v>
      </c>
      <c r="AK1703">
        <v>0</v>
      </c>
    </row>
    <row r="1704" spans="36:37" x14ac:dyDescent="0.3">
      <c r="AJ1704">
        <v>0</v>
      </c>
      <c r="AK1704">
        <v>0</v>
      </c>
    </row>
    <row r="1705" spans="36:37" x14ac:dyDescent="0.3">
      <c r="AJ1705">
        <v>0</v>
      </c>
      <c r="AK1705">
        <v>0</v>
      </c>
    </row>
    <row r="1706" spans="36:37" x14ac:dyDescent="0.3">
      <c r="AJ1706">
        <v>0</v>
      </c>
      <c r="AK1706">
        <v>0</v>
      </c>
    </row>
    <row r="1707" spans="36:37" x14ac:dyDescent="0.3">
      <c r="AJ1707">
        <v>0</v>
      </c>
      <c r="AK1707">
        <v>0</v>
      </c>
    </row>
    <row r="1708" spans="36:37" x14ac:dyDescent="0.3">
      <c r="AJ1708">
        <v>0</v>
      </c>
      <c r="AK1708">
        <v>0</v>
      </c>
    </row>
    <row r="1709" spans="36:37" x14ac:dyDescent="0.3">
      <c r="AJ1709">
        <v>0</v>
      </c>
      <c r="AK1709">
        <v>0</v>
      </c>
    </row>
    <row r="1710" spans="36:37" x14ac:dyDescent="0.3">
      <c r="AJ1710">
        <v>0</v>
      </c>
      <c r="AK1710">
        <v>0</v>
      </c>
    </row>
    <row r="1711" spans="36:37" x14ac:dyDescent="0.3">
      <c r="AJ1711">
        <v>0</v>
      </c>
      <c r="AK1711">
        <v>0</v>
      </c>
    </row>
    <row r="1712" spans="36:37" x14ac:dyDescent="0.3">
      <c r="AJ1712">
        <v>0</v>
      </c>
      <c r="AK1712">
        <v>0</v>
      </c>
    </row>
    <row r="1713" spans="36:37" x14ac:dyDescent="0.3">
      <c r="AJ1713">
        <v>0</v>
      </c>
      <c r="AK1713">
        <v>0</v>
      </c>
    </row>
    <row r="1714" spans="36:37" x14ac:dyDescent="0.3">
      <c r="AJ1714">
        <v>0</v>
      </c>
      <c r="AK1714">
        <v>0</v>
      </c>
    </row>
    <row r="1715" spans="36:37" x14ac:dyDescent="0.3">
      <c r="AJ1715">
        <v>0</v>
      </c>
      <c r="AK1715">
        <v>0</v>
      </c>
    </row>
    <row r="1716" spans="36:37" x14ac:dyDescent="0.3">
      <c r="AJ1716">
        <v>0</v>
      </c>
      <c r="AK1716">
        <v>0</v>
      </c>
    </row>
    <row r="1717" spans="36:37" x14ac:dyDescent="0.3">
      <c r="AJ1717">
        <v>0</v>
      </c>
      <c r="AK1717">
        <v>0</v>
      </c>
    </row>
    <row r="1718" spans="36:37" x14ac:dyDescent="0.3">
      <c r="AJ1718">
        <v>0</v>
      </c>
      <c r="AK1718">
        <v>0</v>
      </c>
    </row>
    <row r="1719" spans="36:37" x14ac:dyDescent="0.3">
      <c r="AJ1719">
        <v>0</v>
      </c>
      <c r="AK1719">
        <v>0</v>
      </c>
    </row>
    <row r="1720" spans="36:37" x14ac:dyDescent="0.3">
      <c r="AJ1720">
        <v>0</v>
      </c>
      <c r="AK1720">
        <v>0</v>
      </c>
    </row>
    <row r="1721" spans="36:37" x14ac:dyDescent="0.3">
      <c r="AJ1721">
        <v>0</v>
      </c>
      <c r="AK1721">
        <v>0</v>
      </c>
    </row>
    <row r="1722" spans="36:37" x14ac:dyDescent="0.3">
      <c r="AJ1722">
        <v>0</v>
      </c>
      <c r="AK1722">
        <v>0</v>
      </c>
    </row>
    <row r="1723" spans="36:37" x14ac:dyDescent="0.3">
      <c r="AJ1723">
        <v>0</v>
      </c>
      <c r="AK1723">
        <v>0</v>
      </c>
    </row>
    <row r="1724" spans="36:37" x14ac:dyDescent="0.3">
      <c r="AJ1724">
        <v>0</v>
      </c>
      <c r="AK1724">
        <v>0</v>
      </c>
    </row>
    <row r="1725" spans="36:37" x14ac:dyDescent="0.3">
      <c r="AJ1725">
        <v>0</v>
      </c>
      <c r="AK1725">
        <v>0</v>
      </c>
    </row>
    <row r="1726" spans="36:37" x14ac:dyDescent="0.3">
      <c r="AJ1726">
        <v>0</v>
      </c>
      <c r="AK1726">
        <v>0</v>
      </c>
    </row>
    <row r="1727" spans="36:37" x14ac:dyDescent="0.3">
      <c r="AJ1727">
        <v>0</v>
      </c>
      <c r="AK1727">
        <v>0</v>
      </c>
    </row>
    <row r="1728" spans="36:37" x14ac:dyDescent="0.3">
      <c r="AJ1728">
        <v>0</v>
      </c>
      <c r="AK1728">
        <v>0</v>
      </c>
    </row>
    <row r="1729" spans="36:37" x14ac:dyDescent="0.3">
      <c r="AJ1729">
        <v>0</v>
      </c>
      <c r="AK1729">
        <v>0</v>
      </c>
    </row>
    <row r="1730" spans="36:37" x14ac:dyDescent="0.3">
      <c r="AJ1730">
        <v>0</v>
      </c>
      <c r="AK1730">
        <v>0</v>
      </c>
    </row>
    <row r="1731" spans="36:37" x14ac:dyDescent="0.3">
      <c r="AJ1731">
        <v>0</v>
      </c>
      <c r="AK1731">
        <v>0</v>
      </c>
    </row>
    <row r="1732" spans="36:37" x14ac:dyDescent="0.3">
      <c r="AJ1732">
        <v>0</v>
      </c>
      <c r="AK1732">
        <v>0</v>
      </c>
    </row>
    <row r="1733" spans="36:37" x14ac:dyDescent="0.3">
      <c r="AJ1733">
        <v>0</v>
      </c>
      <c r="AK1733">
        <v>0</v>
      </c>
    </row>
    <row r="1734" spans="36:37" x14ac:dyDescent="0.3">
      <c r="AJ1734">
        <v>0</v>
      </c>
      <c r="AK1734">
        <v>0</v>
      </c>
    </row>
    <row r="1735" spans="36:37" x14ac:dyDescent="0.3">
      <c r="AJ1735">
        <v>0</v>
      </c>
      <c r="AK1735">
        <v>0</v>
      </c>
    </row>
    <row r="1736" spans="36:37" x14ac:dyDescent="0.3">
      <c r="AJ1736">
        <v>0</v>
      </c>
      <c r="AK1736">
        <v>0</v>
      </c>
    </row>
    <row r="1737" spans="36:37" x14ac:dyDescent="0.3">
      <c r="AJ1737">
        <v>0</v>
      </c>
      <c r="AK1737">
        <v>0</v>
      </c>
    </row>
    <row r="1738" spans="36:37" x14ac:dyDescent="0.3">
      <c r="AJ1738">
        <v>0</v>
      </c>
      <c r="AK1738">
        <v>0</v>
      </c>
    </row>
    <row r="1739" spans="36:37" x14ac:dyDescent="0.3">
      <c r="AJ1739">
        <v>0</v>
      </c>
      <c r="AK1739">
        <v>0</v>
      </c>
    </row>
    <row r="1740" spans="36:37" x14ac:dyDescent="0.3">
      <c r="AJ1740">
        <v>0</v>
      </c>
      <c r="AK1740">
        <v>0</v>
      </c>
    </row>
    <row r="1741" spans="36:37" x14ac:dyDescent="0.3">
      <c r="AJ1741">
        <v>0</v>
      </c>
      <c r="AK1741">
        <v>0</v>
      </c>
    </row>
    <row r="1742" spans="36:37" x14ac:dyDescent="0.3">
      <c r="AJ1742">
        <v>0</v>
      </c>
      <c r="AK1742">
        <v>0</v>
      </c>
    </row>
    <row r="1743" spans="36:37" x14ac:dyDescent="0.3">
      <c r="AJ1743">
        <v>0</v>
      </c>
      <c r="AK1743">
        <v>0</v>
      </c>
    </row>
    <row r="1744" spans="36:37" x14ac:dyDescent="0.3">
      <c r="AJ1744">
        <v>0</v>
      </c>
      <c r="AK1744">
        <v>0</v>
      </c>
    </row>
    <row r="1745" spans="36:37" x14ac:dyDescent="0.3">
      <c r="AJ1745">
        <v>0</v>
      </c>
      <c r="AK1745">
        <v>0</v>
      </c>
    </row>
    <row r="1746" spans="36:37" x14ac:dyDescent="0.3">
      <c r="AJ1746">
        <v>0</v>
      </c>
      <c r="AK1746">
        <v>0</v>
      </c>
    </row>
    <row r="1747" spans="36:37" x14ac:dyDescent="0.3">
      <c r="AJ1747">
        <v>0</v>
      </c>
      <c r="AK1747">
        <v>0</v>
      </c>
    </row>
    <row r="1748" spans="36:37" x14ac:dyDescent="0.3">
      <c r="AJ1748">
        <v>0</v>
      </c>
      <c r="AK1748">
        <v>0</v>
      </c>
    </row>
    <row r="1749" spans="36:37" x14ac:dyDescent="0.3">
      <c r="AJ1749">
        <v>0</v>
      </c>
      <c r="AK1749">
        <v>0</v>
      </c>
    </row>
    <row r="1750" spans="36:37" x14ac:dyDescent="0.3">
      <c r="AJ1750">
        <v>0</v>
      </c>
      <c r="AK1750">
        <v>0</v>
      </c>
    </row>
    <row r="1751" spans="36:37" x14ac:dyDescent="0.3">
      <c r="AJ1751">
        <v>0</v>
      </c>
      <c r="AK1751">
        <v>0</v>
      </c>
    </row>
    <row r="1752" spans="36:37" x14ac:dyDescent="0.3">
      <c r="AJ1752">
        <v>0</v>
      </c>
      <c r="AK1752">
        <v>0</v>
      </c>
    </row>
    <row r="1753" spans="36:37" x14ac:dyDescent="0.3">
      <c r="AJ1753">
        <v>0</v>
      </c>
      <c r="AK1753">
        <v>0</v>
      </c>
    </row>
    <row r="1754" spans="36:37" x14ac:dyDescent="0.3">
      <c r="AJ1754">
        <v>0</v>
      </c>
      <c r="AK1754">
        <v>0</v>
      </c>
    </row>
    <row r="1755" spans="36:37" x14ac:dyDescent="0.3">
      <c r="AJ1755">
        <v>0</v>
      </c>
      <c r="AK1755">
        <v>0</v>
      </c>
    </row>
    <row r="1756" spans="36:37" x14ac:dyDescent="0.3">
      <c r="AJ1756">
        <v>0</v>
      </c>
      <c r="AK1756">
        <v>0</v>
      </c>
    </row>
    <row r="1757" spans="36:37" x14ac:dyDescent="0.3">
      <c r="AJ1757">
        <v>0</v>
      </c>
      <c r="AK1757">
        <v>0</v>
      </c>
    </row>
    <row r="1758" spans="36:37" x14ac:dyDescent="0.3">
      <c r="AJ1758">
        <v>0</v>
      </c>
      <c r="AK1758">
        <v>0</v>
      </c>
    </row>
    <row r="1759" spans="36:37" x14ac:dyDescent="0.3">
      <c r="AJ1759">
        <v>0</v>
      </c>
      <c r="AK1759">
        <v>0</v>
      </c>
    </row>
    <row r="1760" spans="36:37" x14ac:dyDescent="0.3">
      <c r="AJ1760">
        <v>0</v>
      </c>
      <c r="AK1760">
        <v>0</v>
      </c>
    </row>
    <row r="1761" spans="36:37" x14ac:dyDescent="0.3">
      <c r="AJ1761">
        <v>0</v>
      </c>
      <c r="AK1761">
        <v>0</v>
      </c>
    </row>
    <row r="1762" spans="36:37" x14ac:dyDescent="0.3">
      <c r="AJ1762">
        <v>0</v>
      </c>
      <c r="AK1762">
        <v>0</v>
      </c>
    </row>
    <row r="1763" spans="36:37" x14ac:dyDescent="0.3">
      <c r="AJ1763">
        <v>0</v>
      </c>
      <c r="AK1763">
        <v>0</v>
      </c>
    </row>
    <row r="1764" spans="36:37" x14ac:dyDescent="0.3">
      <c r="AJ1764">
        <v>0</v>
      </c>
      <c r="AK1764">
        <v>0</v>
      </c>
    </row>
    <row r="1765" spans="36:37" x14ac:dyDescent="0.3">
      <c r="AJ1765">
        <v>0</v>
      </c>
      <c r="AK1765">
        <v>0</v>
      </c>
    </row>
    <row r="1766" spans="36:37" x14ac:dyDescent="0.3">
      <c r="AJ1766">
        <v>0</v>
      </c>
      <c r="AK1766">
        <v>0</v>
      </c>
    </row>
    <row r="1767" spans="36:37" x14ac:dyDescent="0.3">
      <c r="AJ1767">
        <v>0</v>
      </c>
      <c r="AK1767">
        <v>0</v>
      </c>
    </row>
    <row r="1768" spans="36:37" x14ac:dyDescent="0.3">
      <c r="AJ1768">
        <v>0</v>
      </c>
      <c r="AK1768">
        <v>0</v>
      </c>
    </row>
    <row r="1769" spans="36:37" x14ac:dyDescent="0.3">
      <c r="AJ1769">
        <v>0</v>
      </c>
      <c r="AK1769">
        <v>0</v>
      </c>
    </row>
    <row r="1770" spans="36:37" x14ac:dyDescent="0.3">
      <c r="AJ1770">
        <v>0</v>
      </c>
      <c r="AK1770">
        <v>0</v>
      </c>
    </row>
    <row r="1771" spans="36:37" x14ac:dyDescent="0.3">
      <c r="AJ1771">
        <v>0</v>
      </c>
      <c r="AK1771">
        <v>0</v>
      </c>
    </row>
    <row r="1772" spans="36:37" x14ac:dyDescent="0.3">
      <c r="AJ1772">
        <v>0</v>
      </c>
      <c r="AK1772">
        <v>0</v>
      </c>
    </row>
    <row r="1773" spans="36:37" x14ac:dyDescent="0.3">
      <c r="AJ1773">
        <v>0</v>
      </c>
      <c r="AK1773">
        <v>0</v>
      </c>
    </row>
    <row r="1774" spans="36:37" x14ac:dyDescent="0.3">
      <c r="AJ1774">
        <v>0</v>
      </c>
      <c r="AK1774">
        <v>0</v>
      </c>
    </row>
    <row r="1775" spans="36:37" x14ac:dyDescent="0.3">
      <c r="AJ1775">
        <v>0</v>
      </c>
      <c r="AK1775">
        <v>0</v>
      </c>
    </row>
    <row r="1776" spans="36:37" x14ac:dyDescent="0.3">
      <c r="AJ1776">
        <v>0</v>
      </c>
      <c r="AK1776">
        <v>0</v>
      </c>
    </row>
    <row r="1777" spans="36:37" x14ac:dyDescent="0.3">
      <c r="AJ1777">
        <v>0</v>
      </c>
      <c r="AK1777">
        <v>0</v>
      </c>
    </row>
    <row r="1778" spans="36:37" x14ac:dyDescent="0.3">
      <c r="AJ1778">
        <v>0</v>
      </c>
      <c r="AK1778">
        <v>0</v>
      </c>
    </row>
    <row r="1779" spans="36:37" x14ac:dyDescent="0.3">
      <c r="AJ1779">
        <v>0</v>
      </c>
      <c r="AK1779">
        <v>0</v>
      </c>
    </row>
    <row r="1780" spans="36:37" x14ac:dyDescent="0.3">
      <c r="AJ1780">
        <v>0</v>
      </c>
      <c r="AK1780">
        <v>0</v>
      </c>
    </row>
    <row r="1781" spans="36:37" x14ac:dyDescent="0.3">
      <c r="AJ1781">
        <v>0</v>
      </c>
      <c r="AK1781">
        <v>0</v>
      </c>
    </row>
    <row r="1782" spans="36:37" x14ac:dyDescent="0.3">
      <c r="AJ1782">
        <v>0</v>
      </c>
      <c r="AK1782">
        <v>0</v>
      </c>
    </row>
    <row r="1783" spans="36:37" x14ac:dyDescent="0.3">
      <c r="AJ1783">
        <v>0</v>
      </c>
      <c r="AK1783">
        <v>0</v>
      </c>
    </row>
    <row r="1784" spans="36:37" x14ac:dyDescent="0.3">
      <c r="AJ1784">
        <v>0</v>
      </c>
      <c r="AK1784">
        <v>0</v>
      </c>
    </row>
    <row r="1785" spans="36:37" x14ac:dyDescent="0.3">
      <c r="AJ1785">
        <v>0</v>
      </c>
      <c r="AK1785">
        <v>0</v>
      </c>
    </row>
    <row r="1786" spans="36:37" x14ac:dyDescent="0.3">
      <c r="AJ1786">
        <v>0</v>
      </c>
      <c r="AK1786">
        <v>0</v>
      </c>
    </row>
    <row r="1787" spans="36:37" x14ac:dyDescent="0.3">
      <c r="AJ1787">
        <v>0</v>
      </c>
      <c r="AK1787">
        <v>0</v>
      </c>
    </row>
    <row r="1788" spans="36:37" x14ac:dyDescent="0.3">
      <c r="AJ1788">
        <v>0</v>
      </c>
      <c r="AK1788">
        <v>0</v>
      </c>
    </row>
    <row r="1789" spans="36:37" x14ac:dyDescent="0.3">
      <c r="AJ1789">
        <v>0</v>
      </c>
      <c r="AK1789">
        <v>0</v>
      </c>
    </row>
    <row r="1790" spans="36:37" x14ac:dyDescent="0.3">
      <c r="AJ1790">
        <v>0</v>
      </c>
      <c r="AK1790">
        <v>0</v>
      </c>
    </row>
    <row r="1791" spans="36:37" x14ac:dyDescent="0.3">
      <c r="AJ1791">
        <v>0</v>
      </c>
      <c r="AK1791">
        <v>0</v>
      </c>
    </row>
    <row r="1792" spans="36:37" x14ac:dyDescent="0.3">
      <c r="AJ1792">
        <v>0</v>
      </c>
      <c r="AK1792">
        <v>0</v>
      </c>
    </row>
    <row r="1793" spans="36:37" x14ac:dyDescent="0.3">
      <c r="AJ1793">
        <v>0</v>
      </c>
      <c r="AK1793">
        <v>0</v>
      </c>
    </row>
    <row r="1794" spans="36:37" x14ac:dyDescent="0.3">
      <c r="AJ1794">
        <v>0</v>
      </c>
      <c r="AK1794">
        <v>0</v>
      </c>
    </row>
    <row r="1795" spans="36:37" x14ac:dyDescent="0.3">
      <c r="AJ1795">
        <v>0</v>
      </c>
      <c r="AK1795">
        <v>0</v>
      </c>
    </row>
    <row r="1796" spans="36:37" x14ac:dyDescent="0.3">
      <c r="AJ1796">
        <v>0</v>
      </c>
      <c r="AK1796">
        <v>0</v>
      </c>
    </row>
    <row r="1797" spans="36:37" x14ac:dyDescent="0.3">
      <c r="AJ1797">
        <v>0</v>
      </c>
      <c r="AK1797">
        <v>0</v>
      </c>
    </row>
    <row r="1798" spans="36:37" x14ac:dyDescent="0.3">
      <c r="AJ1798">
        <v>0</v>
      </c>
      <c r="AK1798">
        <v>0</v>
      </c>
    </row>
    <row r="1799" spans="36:37" x14ac:dyDescent="0.3">
      <c r="AJ1799">
        <v>0</v>
      </c>
      <c r="AK1799">
        <v>0</v>
      </c>
    </row>
    <row r="1800" spans="36:37" x14ac:dyDescent="0.3">
      <c r="AJ1800">
        <v>0</v>
      </c>
      <c r="AK1800">
        <v>0</v>
      </c>
    </row>
    <row r="1801" spans="36:37" x14ac:dyDescent="0.3">
      <c r="AJ1801">
        <v>0</v>
      </c>
      <c r="AK1801">
        <v>0</v>
      </c>
    </row>
    <row r="1802" spans="36:37" x14ac:dyDescent="0.3">
      <c r="AJ1802">
        <v>0</v>
      </c>
      <c r="AK1802">
        <v>0</v>
      </c>
    </row>
    <row r="1803" spans="36:37" x14ac:dyDescent="0.3">
      <c r="AJ1803">
        <v>0</v>
      </c>
      <c r="AK1803">
        <v>0</v>
      </c>
    </row>
    <row r="1804" spans="36:37" x14ac:dyDescent="0.3">
      <c r="AJ1804">
        <v>0</v>
      </c>
      <c r="AK1804">
        <v>0</v>
      </c>
    </row>
    <row r="1805" spans="36:37" x14ac:dyDescent="0.3">
      <c r="AJ1805">
        <v>0</v>
      </c>
      <c r="AK1805">
        <v>0</v>
      </c>
    </row>
    <row r="1806" spans="36:37" x14ac:dyDescent="0.3">
      <c r="AJ1806">
        <v>0</v>
      </c>
      <c r="AK1806">
        <v>0</v>
      </c>
    </row>
    <row r="1807" spans="36:37" x14ac:dyDescent="0.3">
      <c r="AJ1807">
        <v>0</v>
      </c>
      <c r="AK1807">
        <v>0</v>
      </c>
    </row>
    <row r="1808" spans="36:37" x14ac:dyDescent="0.3">
      <c r="AJ1808">
        <v>0</v>
      </c>
      <c r="AK1808">
        <v>0</v>
      </c>
    </row>
    <row r="1809" spans="36:37" x14ac:dyDescent="0.3">
      <c r="AJ1809">
        <v>0</v>
      </c>
      <c r="AK1809">
        <v>0</v>
      </c>
    </row>
    <row r="1810" spans="36:37" x14ac:dyDescent="0.3">
      <c r="AJ1810">
        <v>0</v>
      </c>
      <c r="AK1810">
        <v>0</v>
      </c>
    </row>
    <row r="1811" spans="36:37" x14ac:dyDescent="0.3">
      <c r="AJ1811">
        <v>0</v>
      </c>
      <c r="AK1811">
        <v>0</v>
      </c>
    </row>
    <row r="1812" spans="36:37" x14ac:dyDescent="0.3">
      <c r="AJ1812">
        <v>0</v>
      </c>
      <c r="AK1812">
        <v>0</v>
      </c>
    </row>
    <row r="1813" spans="36:37" x14ac:dyDescent="0.3">
      <c r="AJ1813">
        <v>0</v>
      </c>
      <c r="AK1813">
        <v>0</v>
      </c>
    </row>
    <row r="1814" spans="36:37" x14ac:dyDescent="0.3">
      <c r="AJ1814">
        <v>0</v>
      </c>
      <c r="AK1814">
        <v>0</v>
      </c>
    </row>
    <row r="1815" spans="36:37" x14ac:dyDescent="0.3">
      <c r="AJ1815">
        <v>0</v>
      </c>
      <c r="AK1815">
        <v>0</v>
      </c>
    </row>
    <row r="1816" spans="36:37" x14ac:dyDescent="0.3">
      <c r="AJ1816">
        <v>0</v>
      </c>
      <c r="AK1816">
        <v>0</v>
      </c>
    </row>
    <row r="1817" spans="36:37" x14ac:dyDescent="0.3">
      <c r="AJ1817">
        <v>0</v>
      </c>
      <c r="AK1817">
        <v>0</v>
      </c>
    </row>
    <row r="1818" spans="36:37" x14ac:dyDescent="0.3">
      <c r="AJ1818">
        <v>0</v>
      </c>
      <c r="AK1818">
        <v>0</v>
      </c>
    </row>
    <row r="1819" spans="36:37" x14ac:dyDescent="0.3">
      <c r="AJ1819">
        <v>0</v>
      </c>
      <c r="AK1819">
        <v>0</v>
      </c>
    </row>
    <row r="1820" spans="36:37" x14ac:dyDescent="0.3">
      <c r="AJ1820">
        <v>0</v>
      </c>
      <c r="AK1820">
        <v>0</v>
      </c>
    </row>
    <row r="1821" spans="36:37" x14ac:dyDescent="0.3">
      <c r="AJ1821">
        <v>0</v>
      </c>
      <c r="AK1821">
        <v>0</v>
      </c>
    </row>
    <row r="1822" spans="36:37" x14ac:dyDescent="0.3">
      <c r="AJ1822">
        <v>0</v>
      </c>
      <c r="AK1822">
        <v>0</v>
      </c>
    </row>
    <row r="1823" spans="36:37" x14ac:dyDescent="0.3">
      <c r="AJ1823">
        <v>0</v>
      </c>
      <c r="AK1823">
        <v>0</v>
      </c>
    </row>
    <row r="1824" spans="36:37" x14ac:dyDescent="0.3">
      <c r="AJ1824">
        <v>0</v>
      </c>
      <c r="AK1824">
        <v>0</v>
      </c>
    </row>
    <row r="1825" spans="36:37" x14ac:dyDescent="0.3">
      <c r="AJ1825">
        <v>0</v>
      </c>
      <c r="AK1825">
        <v>0</v>
      </c>
    </row>
    <row r="1826" spans="36:37" x14ac:dyDescent="0.3">
      <c r="AJ1826">
        <v>0</v>
      </c>
      <c r="AK1826">
        <v>0</v>
      </c>
    </row>
    <row r="1827" spans="36:37" x14ac:dyDescent="0.3">
      <c r="AJ1827">
        <v>0</v>
      </c>
      <c r="AK1827">
        <v>0</v>
      </c>
    </row>
    <row r="1828" spans="36:37" x14ac:dyDescent="0.3">
      <c r="AJ1828">
        <v>0</v>
      </c>
      <c r="AK1828">
        <v>0</v>
      </c>
    </row>
    <row r="1829" spans="36:37" x14ac:dyDescent="0.3">
      <c r="AJ1829">
        <v>0</v>
      </c>
      <c r="AK1829">
        <v>0</v>
      </c>
    </row>
    <row r="1830" spans="36:37" x14ac:dyDescent="0.3">
      <c r="AJ1830">
        <v>0</v>
      </c>
      <c r="AK1830">
        <v>0</v>
      </c>
    </row>
    <row r="1831" spans="36:37" x14ac:dyDescent="0.3">
      <c r="AJ1831">
        <v>0</v>
      </c>
      <c r="AK1831">
        <v>0</v>
      </c>
    </row>
    <row r="1832" spans="36:37" x14ac:dyDescent="0.3">
      <c r="AJ1832">
        <v>0</v>
      </c>
      <c r="AK1832">
        <v>0</v>
      </c>
    </row>
    <row r="1833" spans="36:37" x14ac:dyDescent="0.3">
      <c r="AJ1833">
        <v>0</v>
      </c>
      <c r="AK1833">
        <v>0</v>
      </c>
    </row>
    <row r="1834" spans="36:37" x14ac:dyDescent="0.3">
      <c r="AJ1834">
        <v>0</v>
      </c>
      <c r="AK1834">
        <v>0</v>
      </c>
    </row>
    <row r="1835" spans="36:37" x14ac:dyDescent="0.3">
      <c r="AJ1835">
        <v>0</v>
      </c>
      <c r="AK1835">
        <v>0</v>
      </c>
    </row>
    <row r="1836" spans="36:37" x14ac:dyDescent="0.3">
      <c r="AJ1836">
        <v>0</v>
      </c>
      <c r="AK1836">
        <v>0</v>
      </c>
    </row>
    <row r="1837" spans="36:37" x14ac:dyDescent="0.3">
      <c r="AJ1837">
        <v>0</v>
      </c>
      <c r="AK1837">
        <v>0</v>
      </c>
    </row>
    <row r="1838" spans="36:37" x14ac:dyDescent="0.3">
      <c r="AJ1838">
        <v>0</v>
      </c>
      <c r="AK1838">
        <v>0</v>
      </c>
    </row>
    <row r="1839" spans="36:37" x14ac:dyDescent="0.3">
      <c r="AJ1839">
        <v>0</v>
      </c>
      <c r="AK1839">
        <v>0</v>
      </c>
    </row>
    <row r="1840" spans="36:37" x14ac:dyDescent="0.3">
      <c r="AJ1840">
        <v>0</v>
      </c>
      <c r="AK1840">
        <v>0</v>
      </c>
    </row>
    <row r="1841" spans="36:37" x14ac:dyDescent="0.3">
      <c r="AJ1841">
        <v>0</v>
      </c>
      <c r="AK1841">
        <v>0</v>
      </c>
    </row>
    <row r="1842" spans="36:37" x14ac:dyDescent="0.3">
      <c r="AJ1842">
        <v>0</v>
      </c>
      <c r="AK1842">
        <v>0</v>
      </c>
    </row>
    <row r="1843" spans="36:37" x14ac:dyDescent="0.3">
      <c r="AJ1843">
        <v>0</v>
      </c>
      <c r="AK1843">
        <v>0</v>
      </c>
    </row>
    <row r="1844" spans="36:37" x14ac:dyDescent="0.3">
      <c r="AJ1844">
        <v>0</v>
      </c>
      <c r="AK1844">
        <v>0</v>
      </c>
    </row>
    <row r="1845" spans="36:37" x14ac:dyDescent="0.3">
      <c r="AJ1845">
        <v>0</v>
      </c>
      <c r="AK1845">
        <v>0</v>
      </c>
    </row>
    <row r="1846" spans="36:37" x14ac:dyDescent="0.3">
      <c r="AJ1846">
        <v>0</v>
      </c>
      <c r="AK1846">
        <v>0</v>
      </c>
    </row>
    <row r="1847" spans="36:37" x14ac:dyDescent="0.3">
      <c r="AJ1847">
        <v>0</v>
      </c>
      <c r="AK1847">
        <v>0</v>
      </c>
    </row>
    <row r="1848" spans="36:37" x14ac:dyDescent="0.3">
      <c r="AJ1848">
        <v>0</v>
      </c>
      <c r="AK1848">
        <v>0</v>
      </c>
    </row>
    <row r="1849" spans="36:37" x14ac:dyDescent="0.3">
      <c r="AJ1849">
        <v>0</v>
      </c>
      <c r="AK1849">
        <v>0</v>
      </c>
    </row>
    <row r="1850" spans="36:37" x14ac:dyDescent="0.3">
      <c r="AJ1850">
        <v>0</v>
      </c>
      <c r="AK1850">
        <v>0</v>
      </c>
    </row>
    <row r="1851" spans="36:37" x14ac:dyDescent="0.3">
      <c r="AJ1851">
        <v>0</v>
      </c>
      <c r="AK1851">
        <v>0</v>
      </c>
    </row>
    <row r="1852" spans="36:37" x14ac:dyDescent="0.3">
      <c r="AJ1852">
        <v>0</v>
      </c>
      <c r="AK1852">
        <v>0</v>
      </c>
    </row>
    <row r="1853" spans="36:37" x14ac:dyDescent="0.3">
      <c r="AJ1853">
        <v>0</v>
      </c>
      <c r="AK1853">
        <v>0</v>
      </c>
    </row>
    <row r="1854" spans="36:37" x14ac:dyDescent="0.3">
      <c r="AJ1854">
        <v>0</v>
      </c>
      <c r="AK1854">
        <v>0</v>
      </c>
    </row>
    <row r="1855" spans="36:37" x14ac:dyDescent="0.3">
      <c r="AJ1855">
        <v>0</v>
      </c>
      <c r="AK1855">
        <v>0</v>
      </c>
    </row>
    <row r="1856" spans="36:37" x14ac:dyDescent="0.3">
      <c r="AJ1856">
        <v>0</v>
      </c>
      <c r="AK1856">
        <v>0</v>
      </c>
    </row>
    <row r="1857" spans="36:37" x14ac:dyDescent="0.3">
      <c r="AJ1857">
        <v>0</v>
      </c>
      <c r="AK1857">
        <v>0</v>
      </c>
    </row>
    <row r="1858" spans="36:37" x14ac:dyDescent="0.3">
      <c r="AJ1858">
        <v>0</v>
      </c>
      <c r="AK1858">
        <v>0</v>
      </c>
    </row>
    <row r="1859" spans="36:37" x14ac:dyDescent="0.3">
      <c r="AJ1859">
        <v>0</v>
      </c>
      <c r="AK1859">
        <v>0</v>
      </c>
    </row>
    <row r="1860" spans="36:37" x14ac:dyDescent="0.3">
      <c r="AJ1860">
        <v>0</v>
      </c>
      <c r="AK1860">
        <v>0</v>
      </c>
    </row>
    <row r="1861" spans="36:37" x14ac:dyDescent="0.3">
      <c r="AJ1861">
        <v>0</v>
      </c>
      <c r="AK1861">
        <v>0</v>
      </c>
    </row>
    <row r="1862" spans="36:37" x14ac:dyDescent="0.3">
      <c r="AJ1862">
        <v>0</v>
      </c>
      <c r="AK1862">
        <v>0</v>
      </c>
    </row>
    <row r="1863" spans="36:37" x14ac:dyDescent="0.3">
      <c r="AJ1863">
        <v>0</v>
      </c>
      <c r="AK1863">
        <v>0</v>
      </c>
    </row>
    <row r="1864" spans="36:37" x14ac:dyDescent="0.3">
      <c r="AJ1864">
        <v>0</v>
      </c>
      <c r="AK1864">
        <v>0</v>
      </c>
    </row>
    <row r="1865" spans="36:37" x14ac:dyDescent="0.3">
      <c r="AJ1865">
        <v>0</v>
      </c>
      <c r="AK1865">
        <v>0</v>
      </c>
    </row>
    <row r="1866" spans="36:37" x14ac:dyDescent="0.3">
      <c r="AJ1866">
        <v>0</v>
      </c>
      <c r="AK1866">
        <v>0</v>
      </c>
    </row>
    <row r="1867" spans="36:37" x14ac:dyDescent="0.3">
      <c r="AJ1867">
        <v>0</v>
      </c>
      <c r="AK1867">
        <v>0</v>
      </c>
    </row>
    <row r="1868" spans="36:37" x14ac:dyDescent="0.3">
      <c r="AJ1868">
        <v>0</v>
      </c>
      <c r="AK1868">
        <v>0</v>
      </c>
    </row>
    <row r="1869" spans="36:37" x14ac:dyDescent="0.3">
      <c r="AJ1869">
        <v>0</v>
      </c>
      <c r="AK1869">
        <v>0</v>
      </c>
    </row>
    <row r="1870" spans="36:37" x14ac:dyDescent="0.3">
      <c r="AJ1870">
        <v>0</v>
      </c>
      <c r="AK1870">
        <v>0</v>
      </c>
    </row>
    <row r="1871" spans="36:37" x14ac:dyDescent="0.3">
      <c r="AJ1871">
        <v>0</v>
      </c>
      <c r="AK1871">
        <v>0</v>
      </c>
    </row>
    <row r="1872" spans="36:37" x14ac:dyDescent="0.3">
      <c r="AJ1872">
        <v>0</v>
      </c>
      <c r="AK1872">
        <v>0</v>
      </c>
    </row>
    <row r="1873" spans="36:37" x14ac:dyDescent="0.3">
      <c r="AJ1873">
        <v>0</v>
      </c>
      <c r="AK1873">
        <v>0</v>
      </c>
    </row>
    <row r="1874" spans="36:37" x14ac:dyDescent="0.3">
      <c r="AJ1874">
        <v>0</v>
      </c>
      <c r="AK1874">
        <v>0</v>
      </c>
    </row>
    <row r="1875" spans="36:37" x14ac:dyDescent="0.3">
      <c r="AJ1875">
        <v>0</v>
      </c>
      <c r="AK1875">
        <v>0</v>
      </c>
    </row>
    <row r="1876" spans="36:37" x14ac:dyDescent="0.3">
      <c r="AJ1876">
        <v>0</v>
      </c>
      <c r="AK1876">
        <v>0</v>
      </c>
    </row>
    <row r="1877" spans="36:37" x14ac:dyDescent="0.3">
      <c r="AJ1877">
        <v>0</v>
      </c>
      <c r="AK1877">
        <v>0</v>
      </c>
    </row>
    <row r="1878" spans="36:37" x14ac:dyDescent="0.3">
      <c r="AJ1878">
        <v>0</v>
      </c>
      <c r="AK1878">
        <v>0</v>
      </c>
    </row>
    <row r="1879" spans="36:37" x14ac:dyDescent="0.3">
      <c r="AJ1879">
        <v>0</v>
      </c>
      <c r="AK1879">
        <v>0</v>
      </c>
    </row>
    <row r="1880" spans="36:37" x14ac:dyDescent="0.3">
      <c r="AJ1880">
        <v>0</v>
      </c>
      <c r="AK1880">
        <v>0</v>
      </c>
    </row>
    <row r="1881" spans="36:37" x14ac:dyDescent="0.3">
      <c r="AJ1881">
        <v>0</v>
      </c>
      <c r="AK1881">
        <v>0</v>
      </c>
    </row>
    <row r="1882" spans="36:37" x14ac:dyDescent="0.3">
      <c r="AJ1882">
        <v>0</v>
      </c>
      <c r="AK1882">
        <v>0</v>
      </c>
    </row>
    <row r="1883" spans="36:37" x14ac:dyDescent="0.3">
      <c r="AJ1883">
        <v>0</v>
      </c>
      <c r="AK1883">
        <v>0</v>
      </c>
    </row>
    <row r="1884" spans="36:37" x14ac:dyDescent="0.3">
      <c r="AJ1884">
        <v>0</v>
      </c>
      <c r="AK1884">
        <v>0</v>
      </c>
    </row>
    <row r="1885" spans="36:37" x14ac:dyDescent="0.3">
      <c r="AJ1885">
        <v>0</v>
      </c>
      <c r="AK1885">
        <v>0</v>
      </c>
    </row>
    <row r="1886" spans="36:37" x14ac:dyDescent="0.3">
      <c r="AJ1886">
        <v>0</v>
      </c>
      <c r="AK1886">
        <v>0</v>
      </c>
    </row>
    <row r="1887" spans="36:37" x14ac:dyDescent="0.3">
      <c r="AJ1887">
        <v>0</v>
      </c>
      <c r="AK1887">
        <v>0</v>
      </c>
    </row>
    <row r="1888" spans="36:37" x14ac:dyDescent="0.3">
      <c r="AJ1888">
        <v>0</v>
      </c>
      <c r="AK1888">
        <v>0</v>
      </c>
    </row>
    <row r="1889" spans="36:37" x14ac:dyDescent="0.3">
      <c r="AJ1889">
        <v>0</v>
      </c>
      <c r="AK1889">
        <v>0</v>
      </c>
    </row>
    <row r="1890" spans="36:37" x14ac:dyDescent="0.3">
      <c r="AJ1890">
        <v>0</v>
      </c>
      <c r="AK1890">
        <v>0</v>
      </c>
    </row>
    <row r="1891" spans="36:37" x14ac:dyDescent="0.3">
      <c r="AJ1891">
        <v>0</v>
      </c>
      <c r="AK1891">
        <v>0</v>
      </c>
    </row>
    <row r="1892" spans="36:37" x14ac:dyDescent="0.3">
      <c r="AJ1892">
        <v>0</v>
      </c>
      <c r="AK1892">
        <v>0</v>
      </c>
    </row>
    <row r="1893" spans="36:37" x14ac:dyDescent="0.3">
      <c r="AJ1893">
        <v>0</v>
      </c>
      <c r="AK1893">
        <v>0</v>
      </c>
    </row>
    <row r="1894" spans="36:37" x14ac:dyDescent="0.3">
      <c r="AJ1894">
        <v>0</v>
      </c>
      <c r="AK1894">
        <v>0</v>
      </c>
    </row>
    <row r="1895" spans="36:37" x14ac:dyDescent="0.3">
      <c r="AJ1895">
        <v>0</v>
      </c>
      <c r="AK1895">
        <v>0</v>
      </c>
    </row>
    <row r="1896" spans="36:37" x14ac:dyDescent="0.3">
      <c r="AJ1896">
        <v>0</v>
      </c>
      <c r="AK1896">
        <v>0</v>
      </c>
    </row>
    <row r="1897" spans="36:37" x14ac:dyDescent="0.3">
      <c r="AJ1897">
        <v>0</v>
      </c>
      <c r="AK1897">
        <v>0</v>
      </c>
    </row>
    <row r="1898" spans="36:37" x14ac:dyDescent="0.3">
      <c r="AJ1898">
        <v>0</v>
      </c>
      <c r="AK1898">
        <v>0</v>
      </c>
    </row>
    <row r="1899" spans="36:37" x14ac:dyDescent="0.3">
      <c r="AJ1899">
        <v>0</v>
      </c>
      <c r="AK1899">
        <v>0</v>
      </c>
    </row>
    <row r="1900" spans="36:37" x14ac:dyDescent="0.3">
      <c r="AJ1900">
        <v>0</v>
      </c>
      <c r="AK1900">
        <v>0</v>
      </c>
    </row>
    <row r="1901" spans="36:37" x14ac:dyDescent="0.3">
      <c r="AJ1901">
        <v>0</v>
      </c>
      <c r="AK1901">
        <v>0</v>
      </c>
    </row>
    <row r="1902" spans="36:37" x14ac:dyDescent="0.3">
      <c r="AJ1902">
        <v>0</v>
      </c>
      <c r="AK1902">
        <v>0</v>
      </c>
    </row>
    <row r="1903" spans="36:37" x14ac:dyDescent="0.3">
      <c r="AJ1903">
        <v>0</v>
      </c>
      <c r="AK1903">
        <v>0</v>
      </c>
    </row>
    <row r="1904" spans="36:37" x14ac:dyDescent="0.3">
      <c r="AJ1904">
        <v>0</v>
      </c>
      <c r="AK1904">
        <v>0</v>
      </c>
    </row>
    <row r="1905" spans="36:37" x14ac:dyDescent="0.3">
      <c r="AJ1905">
        <v>0</v>
      </c>
      <c r="AK1905">
        <v>0</v>
      </c>
    </row>
    <row r="1906" spans="36:37" x14ac:dyDescent="0.3">
      <c r="AJ1906">
        <v>0</v>
      </c>
      <c r="AK1906">
        <v>0</v>
      </c>
    </row>
    <row r="1907" spans="36:37" x14ac:dyDescent="0.3">
      <c r="AJ1907">
        <v>0</v>
      </c>
      <c r="AK1907">
        <v>0</v>
      </c>
    </row>
    <row r="1908" spans="36:37" x14ac:dyDescent="0.3">
      <c r="AJ1908">
        <v>0</v>
      </c>
      <c r="AK1908">
        <v>0</v>
      </c>
    </row>
    <row r="1909" spans="36:37" x14ac:dyDescent="0.3">
      <c r="AJ1909">
        <v>0</v>
      </c>
      <c r="AK1909">
        <v>0</v>
      </c>
    </row>
    <row r="1910" spans="36:37" x14ac:dyDescent="0.3">
      <c r="AJ1910">
        <v>0</v>
      </c>
      <c r="AK1910">
        <v>0</v>
      </c>
    </row>
    <row r="1911" spans="36:37" x14ac:dyDescent="0.3">
      <c r="AJ1911">
        <v>0</v>
      </c>
      <c r="AK1911">
        <v>0</v>
      </c>
    </row>
    <row r="1912" spans="36:37" x14ac:dyDescent="0.3">
      <c r="AJ1912">
        <v>0</v>
      </c>
      <c r="AK1912">
        <v>0</v>
      </c>
    </row>
    <row r="1913" spans="36:37" x14ac:dyDescent="0.3">
      <c r="AJ1913">
        <v>0</v>
      </c>
      <c r="AK1913">
        <v>0</v>
      </c>
    </row>
    <row r="1914" spans="36:37" x14ac:dyDescent="0.3">
      <c r="AJ1914">
        <v>0</v>
      </c>
      <c r="AK1914">
        <v>0</v>
      </c>
    </row>
    <row r="1915" spans="36:37" x14ac:dyDescent="0.3">
      <c r="AJ1915">
        <v>0</v>
      </c>
      <c r="AK1915">
        <v>0</v>
      </c>
    </row>
    <row r="1916" spans="36:37" x14ac:dyDescent="0.3">
      <c r="AJ1916">
        <v>0</v>
      </c>
      <c r="AK1916">
        <v>0</v>
      </c>
    </row>
    <row r="1917" spans="36:37" x14ac:dyDescent="0.3">
      <c r="AJ1917">
        <v>0</v>
      </c>
      <c r="AK1917">
        <v>0</v>
      </c>
    </row>
    <row r="1918" spans="36:37" x14ac:dyDescent="0.3">
      <c r="AJ1918">
        <v>0</v>
      </c>
      <c r="AK1918">
        <v>0</v>
      </c>
    </row>
    <row r="1919" spans="36:37" x14ac:dyDescent="0.3">
      <c r="AJ1919">
        <v>0</v>
      </c>
      <c r="AK1919">
        <v>0</v>
      </c>
    </row>
    <row r="1920" spans="36:37" x14ac:dyDescent="0.3">
      <c r="AJ1920">
        <v>0</v>
      </c>
      <c r="AK1920">
        <v>0</v>
      </c>
    </row>
    <row r="1921" spans="36:37" x14ac:dyDescent="0.3">
      <c r="AJ1921">
        <v>0</v>
      </c>
      <c r="AK1921">
        <v>0</v>
      </c>
    </row>
    <row r="1922" spans="36:37" x14ac:dyDescent="0.3">
      <c r="AJ1922">
        <v>0</v>
      </c>
      <c r="AK1922">
        <v>0</v>
      </c>
    </row>
    <row r="1923" spans="36:37" x14ac:dyDescent="0.3">
      <c r="AJ1923">
        <v>0</v>
      </c>
      <c r="AK1923">
        <v>0</v>
      </c>
    </row>
    <row r="1924" spans="36:37" x14ac:dyDescent="0.3">
      <c r="AJ1924">
        <v>0</v>
      </c>
      <c r="AK1924">
        <v>0</v>
      </c>
    </row>
    <row r="1925" spans="36:37" x14ac:dyDescent="0.3">
      <c r="AJ1925">
        <v>0</v>
      </c>
      <c r="AK1925">
        <v>0</v>
      </c>
    </row>
    <row r="1926" spans="36:37" x14ac:dyDescent="0.3">
      <c r="AJ1926">
        <v>0</v>
      </c>
      <c r="AK1926">
        <v>0</v>
      </c>
    </row>
    <row r="1927" spans="36:37" x14ac:dyDescent="0.3">
      <c r="AJ1927">
        <v>0</v>
      </c>
      <c r="AK1927">
        <v>0</v>
      </c>
    </row>
    <row r="1928" spans="36:37" x14ac:dyDescent="0.3">
      <c r="AJ1928">
        <v>0</v>
      </c>
      <c r="AK1928">
        <v>0</v>
      </c>
    </row>
    <row r="1929" spans="36:37" x14ac:dyDescent="0.3">
      <c r="AJ1929">
        <v>0</v>
      </c>
      <c r="AK1929">
        <v>0</v>
      </c>
    </row>
    <row r="1930" spans="36:37" x14ac:dyDescent="0.3">
      <c r="AJ1930">
        <v>0</v>
      </c>
      <c r="AK1930">
        <v>0</v>
      </c>
    </row>
    <row r="1931" spans="36:37" x14ac:dyDescent="0.3">
      <c r="AJ1931">
        <v>0</v>
      </c>
      <c r="AK1931">
        <v>0</v>
      </c>
    </row>
    <row r="1932" spans="36:37" x14ac:dyDescent="0.3">
      <c r="AJ1932">
        <v>0</v>
      </c>
      <c r="AK1932">
        <v>0</v>
      </c>
    </row>
    <row r="1933" spans="36:37" x14ac:dyDescent="0.3">
      <c r="AJ1933">
        <v>0</v>
      </c>
      <c r="AK1933">
        <v>0</v>
      </c>
    </row>
    <row r="1934" spans="36:37" x14ac:dyDescent="0.3">
      <c r="AJ1934">
        <v>0</v>
      </c>
      <c r="AK1934">
        <v>0</v>
      </c>
    </row>
    <row r="1935" spans="36:37" x14ac:dyDescent="0.3">
      <c r="AJ1935">
        <v>0</v>
      </c>
      <c r="AK1935">
        <v>0</v>
      </c>
    </row>
    <row r="1936" spans="36:37" x14ac:dyDescent="0.3">
      <c r="AJ1936">
        <v>0</v>
      </c>
      <c r="AK1936">
        <v>0</v>
      </c>
    </row>
    <row r="1937" spans="36:37" x14ac:dyDescent="0.3">
      <c r="AJ1937">
        <v>0</v>
      </c>
      <c r="AK1937">
        <v>0</v>
      </c>
    </row>
    <row r="1938" spans="36:37" x14ac:dyDescent="0.3">
      <c r="AJ1938">
        <v>0</v>
      </c>
      <c r="AK1938">
        <v>0</v>
      </c>
    </row>
    <row r="1939" spans="36:37" x14ac:dyDescent="0.3">
      <c r="AJ1939">
        <v>0</v>
      </c>
      <c r="AK1939">
        <v>0</v>
      </c>
    </row>
    <row r="1940" spans="36:37" x14ac:dyDescent="0.3">
      <c r="AJ1940">
        <v>0</v>
      </c>
      <c r="AK1940">
        <v>0</v>
      </c>
    </row>
    <row r="1941" spans="36:37" x14ac:dyDescent="0.3">
      <c r="AJ1941">
        <v>0</v>
      </c>
      <c r="AK1941">
        <v>0</v>
      </c>
    </row>
    <row r="1942" spans="36:37" x14ac:dyDescent="0.3">
      <c r="AJ1942">
        <v>0</v>
      </c>
      <c r="AK1942">
        <v>0</v>
      </c>
    </row>
    <row r="1943" spans="36:37" x14ac:dyDescent="0.3">
      <c r="AJ1943">
        <v>0</v>
      </c>
      <c r="AK1943">
        <v>0</v>
      </c>
    </row>
    <row r="1944" spans="36:37" x14ac:dyDescent="0.3">
      <c r="AJ1944">
        <v>0</v>
      </c>
      <c r="AK1944">
        <v>0</v>
      </c>
    </row>
    <row r="1945" spans="36:37" x14ac:dyDescent="0.3">
      <c r="AJ1945">
        <v>0</v>
      </c>
      <c r="AK1945">
        <v>0</v>
      </c>
    </row>
    <row r="1946" spans="36:37" x14ac:dyDescent="0.3">
      <c r="AJ1946">
        <v>0</v>
      </c>
      <c r="AK1946">
        <v>0</v>
      </c>
    </row>
    <row r="1947" spans="36:37" x14ac:dyDescent="0.3">
      <c r="AJ1947">
        <v>0</v>
      </c>
      <c r="AK1947">
        <v>0</v>
      </c>
    </row>
    <row r="1948" spans="36:37" x14ac:dyDescent="0.3">
      <c r="AJ1948">
        <v>0</v>
      </c>
      <c r="AK1948">
        <v>0</v>
      </c>
    </row>
    <row r="1949" spans="36:37" x14ac:dyDescent="0.3">
      <c r="AJ1949">
        <v>0</v>
      </c>
      <c r="AK1949">
        <v>0</v>
      </c>
    </row>
    <row r="1950" spans="36:37" x14ac:dyDescent="0.3">
      <c r="AJ1950">
        <v>0</v>
      </c>
      <c r="AK1950">
        <v>0</v>
      </c>
    </row>
    <row r="1951" spans="36:37" x14ac:dyDescent="0.3">
      <c r="AJ1951">
        <v>0</v>
      </c>
      <c r="AK1951">
        <v>0</v>
      </c>
    </row>
    <row r="1952" spans="36:37" x14ac:dyDescent="0.3">
      <c r="AJ1952">
        <v>0</v>
      </c>
      <c r="AK1952">
        <v>0</v>
      </c>
    </row>
    <row r="1953" spans="36:37" x14ac:dyDescent="0.3">
      <c r="AJ1953">
        <v>0</v>
      </c>
      <c r="AK1953">
        <v>0</v>
      </c>
    </row>
    <row r="1954" spans="36:37" x14ac:dyDescent="0.3">
      <c r="AJ1954">
        <v>0</v>
      </c>
      <c r="AK1954">
        <v>0</v>
      </c>
    </row>
    <row r="1955" spans="36:37" x14ac:dyDescent="0.3">
      <c r="AJ1955">
        <v>0</v>
      </c>
      <c r="AK1955">
        <v>0</v>
      </c>
    </row>
    <row r="1956" spans="36:37" x14ac:dyDescent="0.3">
      <c r="AJ1956">
        <v>0</v>
      </c>
      <c r="AK1956">
        <v>0</v>
      </c>
    </row>
    <row r="1957" spans="36:37" x14ac:dyDescent="0.3">
      <c r="AJ1957">
        <v>0</v>
      </c>
      <c r="AK1957">
        <v>0</v>
      </c>
    </row>
    <row r="1958" spans="36:37" x14ac:dyDescent="0.3">
      <c r="AJ1958">
        <v>0</v>
      </c>
      <c r="AK1958">
        <v>0</v>
      </c>
    </row>
    <row r="1959" spans="36:37" x14ac:dyDescent="0.3">
      <c r="AJ1959">
        <v>0</v>
      </c>
      <c r="AK1959">
        <v>0</v>
      </c>
    </row>
    <row r="1960" spans="36:37" x14ac:dyDescent="0.3">
      <c r="AJ1960">
        <v>0</v>
      </c>
      <c r="AK1960">
        <v>0</v>
      </c>
    </row>
    <row r="1961" spans="36:37" x14ac:dyDescent="0.3">
      <c r="AJ1961">
        <v>0</v>
      </c>
      <c r="AK1961">
        <v>0</v>
      </c>
    </row>
    <row r="1962" spans="36:37" x14ac:dyDescent="0.3">
      <c r="AJ1962">
        <v>0</v>
      </c>
      <c r="AK1962">
        <v>0</v>
      </c>
    </row>
    <row r="1963" spans="36:37" x14ac:dyDescent="0.3">
      <c r="AJ1963">
        <v>0</v>
      </c>
      <c r="AK1963">
        <v>0</v>
      </c>
    </row>
    <row r="1964" spans="36:37" x14ac:dyDescent="0.3">
      <c r="AJ1964">
        <v>0</v>
      </c>
      <c r="AK1964">
        <v>0</v>
      </c>
    </row>
    <row r="1965" spans="36:37" x14ac:dyDescent="0.3">
      <c r="AJ1965">
        <v>0</v>
      </c>
      <c r="AK1965">
        <v>0</v>
      </c>
    </row>
    <row r="1966" spans="36:37" x14ac:dyDescent="0.3">
      <c r="AJ1966">
        <v>0</v>
      </c>
      <c r="AK1966">
        <v>0</v>
      </c>
    </row>
    <row r="1967" spans="36:37" x14ac:dyDescent="0.3">
      <c r="AJ1967">
        <v>0</v>
      </c>
      <c r="AK1967">
        <v>0</v>
      </c>
    </row>
    <row r="1968" spans="36:37" x14ac:dyDescent="0.3">
      <c r="AJ1968">
        <v>0</v>
      </c>
      <c r="AK1968">
        <v>0</v>
      </c>
    </row>
    <row r="1969" spans="36:37" x14ac:dyDescent="0.3">
      <c r="AJ1969">
        <v>0</v>
      </c>
      <c r="AK1969">
        <v>0</v>
      </c>
    </row>
    <row r="1970" spans="36:37" x14ac:dyDescent="0.3">
      <c r="AJ1970">
        <v>0</v>
      </c>
      <c r="AK1970">
        <v>0</v>
      </c>
    </row>
    <row r="1971" spans="36:37" x14ac:dyDescent="0.3">
      <c r="AJ1971">
        <v>0</v>
      </c>
      <c r="AK1971">
        <v>0</v>
      </c>
    </row>
    <row r="1972" spans="36:37" x14ac:dyDescent="0.3">
      <c r="AJ1972">
        <v>0</v>
      </c>
      <c r="AK1972">
        <v>0</v>
      </c>
    </row>
    <row r="1973" spans="36:37" x14ac:dyDescent="0.3">
      <c r="AJ1973">
        <v>0</v>
      </c>
      <c r="AK1973">
        <v>0</v>
      </c>
    </row>
    <row r="1974" spans="36:37" x14ac:dyDescent="0.3">
      <c r="AJ1974">
        <v>0</v>
      </c>
      <c r="AK1974">
        <v>0</v>
      </c>
    </row>
    <row r="1975" spans="36:37" x14ac:dyDescent="0.3">
      <c r="AJ1975">
        <v>0</v>
      </c>
      <c r="AK1975">
        <v>0</v>
      </c>
    </row>
    <row r="1976" spans="36:37" x14ac:dyDescent="0.3">
      <c r="AJ1976">
        <v>0</v>
      </c>
      <c r="AK1976">
        <v>0</v>
      </c>
    </row>
    <row r="1977" spans="36:37" x14ac:dyDescent="0.3">
      <c r="AJ1977">
        <v>0</v>
      </c>
      <c r="AK1977">
        <v>0</v>
      </c>
    </row>
    <row r="1978" spans="36:37" x14ac:dyDescent="0.3">
      <c r="AJ1978">
        <v>0</v>
      </c>
      <c r="AK1978">
        <v>0</v>
      </c>
    </row>
    <row r="1979" spans="36:37" x14ac:dyDescent="0.3">
      <c r="AJ1979">
        <v>0</v>
      </c>
      <c r="AK1979">
        <v>0</v>
      </c>
    </row>
    <row r="1980" spans="36:37" x14ac:dyDescent="0.3">
      <c r="AJ1980">
        <v>0</v>
      </c>
      <c r="AK1980">
        <v>0</v>
      </c>
    </row>
    <row r="1981" spans="36:37" x14ac:dyDescent="0.3">
      <c r="AJ1981">
        <v>0</v>
      </c>
      <c r="AK1981">
        <v>0</v>
      </c>
    </row>
    <row r="1982" spans="36:37" x14ac:dyDescent="0.3">
      <c r="AJ1982">
        <v>0</v>
      </c>
      <c r="AK1982">
        <v>0</v>
      </c>
    </row>
    <row r="1983" spans="36:37" x14ac:dyDescent="0.3">
      <c r="AJ1983">
        <v>0</v>
      </c>
      <c r="AK1983">
        <v>0</v>
      </c>
    </row>
    <row r="1984" spans="36:37" x14ac:dyDescent="0.3">
      <c r="AJ1984">
        <v>0</v>
      </c>
      <c r="AK1984">
        <v>0</v>
      </c>
    </row>
    <row r="1985" spans="36:37" x14ac:dyDescent="0.3">
      <c r="AJ1985">
        <v>0</v>
      </c>
      <c r="AK1985">
        <v>0</v>
      </c>
    </row>
    <row r="1986" spans="36:37" x14ac:dyDescent="0.3">
      <c r="AJ1986">
        <v>0</v>
      </c>
      <c r="AK1986">
        <v>0</v>
      </c>
    </row>
    <row r="1987" spans="36:37" x14ac:dyDescent="0.3">
      <c r="AJ1987">
        <v>0</v>
      </c>
      <c r="AK1987">
        <v>0</v>
      </c>
    </row>
    <row r="1988" spans="36:37" x14ac:dyDescent="0.3">
      <c r="AJ1988">
        <v>0</v>
      </c>
      <c r="AK1988">
        <v>0</v>
      </c>
    </row>
    <row r="1989" spans="36:37" x14ac:dyDescent="0.3">
      <c r="AJ1989">
        <v>0</v>
      </c>
      <c r="AK1989">
        <v>0</v>
      </c>
    </row>
    <row r="1990" spans="36:37" x14ac:dyDescent="0.3">
      <c r="AJ1990">
        <v>0</v>
      </c>
      <c r="AK1990">
        <v>0</v>
      </c>
    </row>
    <row r="1991" spans="36:37" x14ac:dyDescent="0.3">
      <c r="AJ1991">
        <v>0</v>
      </c>
      <c r="AK1991">
        <v>0</v>
      </c>
    </row>
    <row r="1992" spans="36:37" x14ac:dyDescent="0.3">
      <c r="AJ1992">
        <v>0</v>
      </c>
      <c r="AK1992">
        <v>0</v>
      </c>
    </row>
    <row r="1993" spans="36:37" x14ac:dyDescent="0.3">
      <c r="AJ1993">
        <v>0</v>
      </c>
      <c r="AK1993">
        <v>0</v>
      </c>
    </row>
    <row r="1994" spans="36:37" x14ac:dyDescent="0.3">
      <c r="AJ1994">
        <v>0</v>
      </c>
      <c r="AK1994">
        <v>0</v>
      </c>
    </row>
    <row r="1995" spans="36:37" x14ac:dyDescent="0.3">
      <c r="AJ1995">
        <v>0</v>
      </c>
      <c r="AK1995">
        <v>0</v>
      </c>
    </row>
    <row r="1996" spans="36:37" x14ac:dyDescent="0.3">
      <c r="AJ1996">
        <v>0</v>
      </c>
      <c r="AK1996">
        <v>0</v>
      </c>
    </row>
    <row r="1997" spans="36:37" x14ac:dyDescent="0.3">
      <c r="AJ1997">
        <v>0</v>
      </c>
      <c r="AK1997">
        <v>0</v>
      </c>
    </row>
    <row r="1998" spans="36:37" x14ac:dyDescent="0.3">
      <c r="AJ1998">
        <v>0</v>
      </c>
      <c r="AK1998">
        <v>0</v>
      </c>
    </row>
    <row r="1999" spans="36:37" x14ac:dyDescent="0.3">
      <c r="AJ1999">
        <v>0</v>
      </c>
      <c r="AK1999">
        <v>0</v>
      </c>
    </row>
    <row r="2000" spans="36:37" x14ac:dyDescent="0.3">
      <c r="AJ2000">
        <v>0</v>
      </c>
      <c r="AK2000">
        <v>0</v>
      </c>
    </row>
    <row r="2001" spans="36:37" x14ac:dyDescent="0.3">
      <c r="AJ2001">
        <v>0</v>
      </c>
      <c r="AK2001">
        <v>0</v>
      </c>
    </row>
    <row r="2002" spans="36:37" x14ac:dyDescent="0.3">
      <c r="AJ2002">
        <v>0</v>
      </c>
      <c r="AK2002">
        <v>0</v>
      </c>
    </row>
    <row r="2003" spans="36:37" x14ac:dyDescent="0.3">
      <c r="AJ2003">
        <v>0</v>
      </c>
      <c r="AK2003">
        <v>0</v>
      </c>
    </row>
    <row r="2004" spans="36:37" x14ac:dyDescent="0.3">
      <c r="AJ2004">
        <v>0</v>
      </c>
      <c r="AK2004">
        <v>0</v>
      </c>
    </row>
    <row r="2005" spans="36:37" x14ac:dyDescent="0.3">
      <c r="AJ2005">
        <v>0</v>
      </c>
      <c r="AK2005">
        <v>0</v>
      </c>
    </row>
    <row r="2006" spans="36:37" x14ac:dyDescent="0.3">
      <c r="AJ2006">
        <v>0</v>
      </c>
      <c r="AK2006">
        <v>0</v>
      </c>
    </row>
    <row r="2007" spans="36:37" x14ac:dyDescent="0.3">
      <c r="AJ2007">
        <v>0</v>
      </c>
      <c r="AK2007">
        <v>0</v>
      </c>
    </row>
    <row r="2008" spans="36:37" x14ac:dyDescent="0.3">
      <c r="AJ2008">
        <v>0</v>
      </c>
      <c r="AK2008">
        <v>0</v>
      </c>
    </row>
    <row r="2009" spans="36:37" x14ac:dyDescent="0.3">
      <c r="AJ2009">
        <v>0</v>
      </c>
      <c r="AK2009">
        <v>0</v>
      </c>
    </row>
    <row r="2010" spans="36:37" x14ac:dyDescent="0.3">
      <c r="AJ2010">
        <v>0</v>
      </c>
      <c r="AK2010">
        <v>0</v>
      </c>
    </row>
    <row r="2011" spans="36:37" x14ac:dyDescent="0.3">
      <c r="AJ2011">
        <v>0</v>
      </c>
      <c r="AK2011">
        <v>0</v>
      </c>
    </row>
    <row r="2012" spans="36:37" x14ac:dyDescent="0.3">
      <c r="AJ2012">
        <v>0</v>
      </c>
      <c r="AK2012">
        <v>0</v>
      </c>
    </row>
    <row r="2013" spans="36:37" x14ac:dyDescent="0.3">
      <c r="AJ2013">
        <v>0</v>
      </c>
      <c r="AK2013">
        <v>0</v>
      </c>
    </row>
    <row r="2014" spans="36:37" x14ac:dyDescent="0.3">
      <c r="AJ2014">
        <v>0</v>
      </c>
      <c r="AK2014">
        <v>0</v>
      </c>
    </row>
    <row r="2015" spans="36:37" x14ac:dyDescent="0.3">
      <c r="AJ2015">
        <v>0</v>
      </c>
      <c r="AK2015">
        <v>0</v>
      </c>
    </row>
    <row r="2016" spans="36:37" x14ac:dyDescent="0.3">
      <c r="AJ2016">
        <v>0</v>
      </c>
      <c r="AK2016">
        <v>0</v>
      </c>
    </row>
    <row r="2017" spans="36:37" x14ac:dyDescent="0.3">
      <c r="AJ2017">
        <v>0</v>
      </c>
      <c r="AK2017">
        <v>0</v>
      </c>
    </row>
    <row r="2018" spans="36:37" x14ac:dyDescent="0.3">
      <c r="AJ2018">
        <v>0</v>
      </c>
      <c r="AK2018">
        <v>0</v>
      </c>
    </row>
    <row r="2019" spans="36:37" x14ac:dyDescent="0.3">
      <c r="AJ2019">
        <v>0</v>
      </c>
      <c r="AK2019">
        <v>0</v>
      </c>
    </row>
    <row r="2020" spans="36:37" x14ac:dyDescent="0.3">
      <c r="AJ2020">
        <v>0</v>
      </c>
      <c r="AK2020">
        <v>0</v>
      </c>
    </row>
    <row r="2021" spans="36:37" x14ac:dyDescent="0.3">
      <c r="AJ2021">
        <v>0</v>
      </c>
      <c r="AK2021">
        <v>0</v>
      </c>
    </row>
    <row r="2022" spans="36:37" x14ac:dyDescent="0.3">
      <c r="AJ2022">
        <v>0</v>
      </c>
      <c r="AK2022">
        <v>0</v>
      </c>
    </row>
    <row r="2023" spans="36:37" x14ac:dyDescent="0.3">
      <c r="AJ2023">
        <v>0</v>
      </c>
      <c r="AK2023">
        <v>0</v>
      </c>
    </row>
    <row r="2024" spans="36:37" x14ac:dyDescent="0.3">
      <c r="AJ2024">
        <v>0</v>
      </c>
      <c r="AK2024">
        <v>0</v>
      </c>
    </row>
    <row r="2025" spans="36:37" x14ac:dyDescent="0.3">
      <c r="AJ2025">
        <v>0</v>
      </c>
      <c r="AK2025">
        <v>0</v>
      </c>
    </row>
  </sheetData>
  <autoFilter ref="B2:AD2"/>
  <phoneticPr fontId="3" type="noConversion"/>
  <conditionalFormatting sqref="U189:U381 U85:U135 U3 U30:U32">
    <cfRule type="cellIs" dxfId="10" priority="11" operator="greaterThan">
      <formula>0</formula>
    </cfRule>
  </conditionalFormatting>
  <conditionalFormatting sqref="U3 U30:U32">
    <cfRule type="cellIs" dxfId="9" priority="10" operator="greaterThan">
      <formula>0</formula>
    </cfRule>
  </conditionalFormatting>
  <conditionalFormatting sqref="U4:U29">
    <cfRule type="cellIs" dxfId="8" priority="9" operator="greaterThan">
      <formula>0</formula>
    </cfRule>
  </conditionalFormatting>
  <conditionalFormatting sqref="U4:U29">
    <cfRule type="cellIs" dxfId="7" priority="8" operator="greaterThan">
      <formula>0</formula>
    </cfRule>
  </conditionalFormatting>
  <conditionalFormatting sqref="U33:U84">
    <cfRule type="cellIs" dxfId="6" priority="7" operator="greaterThan">
      <formula>0</formula>
    </cfRule>
  </conditionalFormatting>
  <conditionalFormatting sqref="U33:U84">
    <cfRule type="cellIs" dxfId="5" priority="6" operator="greaterThan">
      <formula>0</formula>
    </cfRule>
  </conditionalFormatting>
  <conditionalFormatting sqref="P136">
    <cfRule type="containsText" dxfId="4" priority="5" operator="containsText" text="DD">
      <formula>NOT(ISERROR(SEARCH("DD",P136)))</formula>
    </cfRule>
  </conditionalFormatting>
  <conditionalFormatting sqref="U136:U167">
    <cfRule type="cellIs" dxfId="3" priority="4" operator="greaterThan">
      <formula>0</formula>
    </cfRule>
  </conditionalFormatting>
  <conditionalFormatting sqref="U168:U188">
    <cfRule type="cellIs" dxfId="2" priority="3" operator="greaterThan">
      <formula>0</formula>
    </cfRule>
  </conditionalFormatting>
  <conditionalFormatting sqref="U382:U400">
    <cfRule type="cellIs" dxfId="1" priority="2" operator="greaterThan">
      <formula>0</formula>
    </cfRule>
  </conditionalFormatting>
  <conditionalFormatting sqref="U382:U40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해외 유신 감리 관리인원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김도건</dc:creator>
  <cp:lastModifiedBy>김도건</cp:lastModifiedBy>
  <dcterms:created xsi:type="dcterms:W3CDTF">2022-12-16T04:10:17Z</dcterms:created>
  <dcterms:modified xsi:type="dcterms:W3CDTF">2022-12-16T06:42:31Z</dcterms:modified>
</cp:coreProperties>
</file>